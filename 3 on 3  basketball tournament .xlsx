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u Bau vs Basketball Bandits" sheetId="1" r:id="rId5"/>
    <sheet state="visible" name="Swaggers vs Bau Bau" sheetId="2" r:id="rId6"/>
    <sheet state="visible" name="Oppahsnee vs Los Blancos" sheetId="3" r:id="rId7"/>
    <sheet state="visible" name="Bau Bau vs Los Blancos" sheetId="4" r:id="rId8"/>
    <sheet state="visible" name="DD vs Basketball Bandits" sheetId="5" r:id="rId9"/>
    <sheet state="visible" name="Uncs vs Los Blancos" sheetId="6" r:id="rId10"/>
    <sheet state="visible" name="Uncs vs Basketball Bandits" sheetId="7" r:id="rId11"/>
    <sheet state="visible" name="Championship Game" sheetId="8" r:id="rId12"/>
    <sheet state="visible" name="Swaggers vs DD " sheetId="9" r:id="rId13"/>
    <sheet state="visible" name="Playoffs - Round 1 Game 1" sheetId="10" r:id="rId14"/>
    <sheet state="visible" name="Swaggers vs Uncs" sheetId="11" r:id="rId15"/>
    <sheet state="visible" name="Oppahsnee vs Bau Bau" sheetId="12" r:id="rId16"/>
    <sheet state="visible" name="Playoffs - Round 2 Game 1" sheetId="13" r:id="rId17"/>
    <sheet state="visible" name="Playoffs - Round 1 Game 2" sheetId="14" r:id="rId18"/>
    <sheet state="visible" name="Playoffs - Round 1 Game 3" sheetId="15" r:id="rId19"/>
    <sheet state="visible" name="Losers Bracket Finals" sheetId="16" r:id="rId20"/>
    <sheet state="visible" name="Loser Semis 1" sheetId="17" r:id="rId21"/>
    <sheet state="visible" name="Winners Bracket Finals" sheetId="18" r:id="rId22"/>
    <sheet state="visible" name="Winners Bracket Semis 1" sheetId="19" r:id="rId23"/>
    <sheet state="visible" name="Losers Bracket Semis 2" sheetId="20" r:id="rId24"/>
    <sheet state="visible" name="Third Place Game" sheetId="21" r:id="rId25"/>
    <sheet state="visible" name="Playoffs - Round 1 Game 4" sheetId="22" r:id="rId26"/>
  </sheets>
  <definedNames/>
  <calcPr/>
</workbook>
</file>

<file path=xl/sharedStrings.xml><?xml version="1.0" encoding="utf-8"?>
<sst xmlns="http://schemas.openxmlformats.org/spreadsheetml/2006/main" count="1056" uniqueCount="44">
  <si>
    <t>Bau Bau</t>
  </si>
  <si>
    <t>Player No.</t>
  </si>
  <si>
    <t>PTS</t>
  </si>
  <si>
    <t>FGM</t>
  </si>
  <si>
    <t>FGA</t>
  </si>
  <si>
    <t>FG_PCT</t>
  </si>
  <si>
    <t>3PTM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</si>
  <si>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</si>
  <si>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</si>
  <si>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</si>
  <si>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</si>
  <si>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</si>
  <si>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</si>
  <si>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</si>
  <si>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</si>
  <si>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</si>
  <si>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STL</t>
  </si>
  <si>
    <t>BLK</t>
  </si>
  <si>
    <t>TOV</t>
  </si>
  <si>
    <t>PF</t>
  </si>
  <si>
    <t>TOTALS</t>
  </si>
  <si>
    <t>Basketball Bandits</t>
  </si>
  <si>
    <t>Winner</t>
  </si>
  <si>
    <t>Loser</t>
  </si>
  <si>
    <t>Game Type</t>
  </si>
  <si>
    <t>Round Robin</t>
  </si>
  <si>
    <t xml:space="preserve">Bau Bau </t>
  </si>
  <si>
    <t>Swaggers</t>
  </si>
  <si>
    <t>Oppahsnee</t>
  </si>
  <si>
    <t>Los Blancos</t>
  </si>
  <si>
    <t>DD</t>
  </si>
  <si>
    <t>Uncs</t>
  </si>
  <si>
    <t>Playoffs - Championship Game</t>
  </si>
  <si>
    <t>Playoffs - Losers Bracket Round 1</t>
  </si>
  <si>
    <t>Playoffs - Round 2</t>
  </si>
  <si>
    <t>Playoffs Round 1</t>
  </si>
  <si>
    <t>Playoffs - Loser Bracket Finals</t>
  </si>
  <si>
    <t>Playoffs - Loser Semis</t>
  </si>
  <si>
    <t>Playoffs - Winners Bracket Finals</t>
  </si>
  <si>
    <t>Playoffs Winners Bracket Semis</t>
  </si>
  <si>
    <t>Playoffs - Loser's Bracket Semis</t>
  </si>
  <si>
    <t>Oppahnsnee</t>
  </si>
  <si>
    <t>Playoffs - Third Place Game</t>
  </si>
  <si>
    <t>Playoffs - Round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</si>
</sst>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6.0"/>
      <color rgb="FFFFFFFF"/>
      <name val="Arial"/>
    </font>
    <font>
      <color theme="1"/>
      <name val="Arial"/>
    </font>
    <font>
      <sz val="13.0"/>
      <color theme="1"/>
      <name val="Arial"/>
    </font>
    <font>
      <b/>
      <color rgb="FFFFFFFF"/>
      <name val="Arial"/>
    </font>
    <font>
      <b/>
      <color theme="1"/>
      <name val="Arial"/>
    </font>
    <font>
      <b/>
      <sz val="12.0"/>
      <color theme="1"/>
      <name val="Arial"/>
    </font>
    <font>
      <b/>
      <sz val="17.0"/>
      <color theme="1"/>
      <name val="Arial"/>
    </font>
    <font>
      <sz val="11.0"/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2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9" xfId="0" applyAlignment="1" applyBorder="1" applyFont="1" applyNumberFormat="1">
      <alignment horizontal="center" vertical="bottom"/>
    </xf>
    <xf borderId="1" fillId="0" fontId="2" numFmtId="9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6" numFmtId="10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1" fillId="0" fontId="7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vertical="bottom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1" fillId="0" fontId="11" numFmtId="9" xfId="0" applyAlignment="1" applyBorder="1" applyFont="1" applyNumberFormat="1">
      <alignment horizontal="center" readingOrder="0"/>
    </xf>
    <xf borderId="1" fillId="0" fontId="2" numFmtId="10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readingOrder="0" vertical="bottom"/>
    </xf>
    <xf borderId="0" fillId="0" fontId="9" numFmtId="0" xfId="0" applyAlignment="1" applyFont="1">
      <alignment readingOrder="0"/>
    </xf>
    <xf borderId="1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63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  <col customWidth="1" min="22" max="22" width="17.5"/>
  </cols>
  <sheetData>
    <row r="4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1.0</v>
      </c>
      <c r="C6" s="7">
        <v>1.0</v>
      </c>
      <c r="D6" s="7">
        <v>15.0</v>
      </c>
      <c r="E6" s="8">
        <f t="shared" ref="E6:E7" si="1">C6/D6</f>
        <v>0.06666666667</v>
      </c>
      <c r="F6" s="7">
        <v>0.0</v>
      </c>
      <c r="G6" s="7">
        <v>0.0</v>
      </c>
      <c r="H6" s="9">
        <v>0.0</v>
      </c>
      <c r="I6" s="7">
        <v>0.0</v>
      </c>
      <c r="J6" s="7">
        <v>1.0</v>
      </c>
      <c r="K6" s="9">
        <v>0.0</v>
      </c>
      <c r="L6" s="7">
        <v>4.0</v>
      </c>
      <c r="M6" s="7">
        <v>3.0</v>
      </c>
      <c r="N6" s="10">
        <f t="shared" ref="N6:N10" si="2">L6+M6</f>
        <v>7</v>
      </c>
      <c r="O6" s="7">
        <v>0.0</v>
      </c>
      <c r="P6" s="7">
        <v>0.0</v>
      </c>
      <c r="Q6" s="7">
        <v>0.0</v>
      </c>
      <c r="R6" s="7">
        <v>4.0</v>
      </c>
      <c r="S6" s="7">
        <v>1.0</v>
      </c>
    </row>
    <row r="7">
      <c r="A7" s="5">
        <v>12.0</v>
      </c>
      <c r="B7" s="6">
        <v>0.0</v>
      </c>
      <c r="C7" s="7">
        <v>0.0</v>
      </c>
      <c r="D7" s="7">
        <v>4.0</v>
      </c>
      <c r="E7" s="8">
        <f t="shared" si="1"/>
        <v>0</v>
      </c>
      <c r="F7" s="7">
        <v>0.0</v>
      </c>
      <c r="G7" s="7">
        <v>0.0</v>
      </c>
      <c r="H7" s="9">
        <v>0.0</v>
      </c>
      <c r="I7" s="7">
        <v>0.0</v>
      </c>
      <c r="J7" s="7">
        <v>0.0</v>
      </c>
      <c r="K7" s="9">
        <v>0.0</v>
      </c>
      <c r="L7" s="7">
        <v>3.0</v>
      </c>
      <c r="M7" s="7">
        <v>6.0</v>
      </c>
      <c r="N7" s="10">
        <f t="shared" si="2"/>
        <v>9</v>
      </c>
      <c r="O7" s="7">
        <v>0.0</v>
      </c>
      <c r="P7" s="7">
        <v>0.0</v>
      </c>
      <c r="Q7" s="7">
        <v>0.0</v>
      </c>
      <c r="R7" s="7">
        <v>4.0</v>
      </c>
      <c r="S7" s="7">
        <v>0.0</v>
      </c>
    </row>
    <row r="8">
      <c r="A8" s="5">
        <v>3.0</v>
      </c>
      <c r="B8" s="6">
        <v>0.0</v>
      </c>
      <c r="C8" s="7">
        <v>0.0</v>
      </c>
      <c r="D8" s="7">
        <v>0.0</v>
      </c>
      <c r="E8" s="9">
        <v>0.0</v>
      </c>
      <c r="F8" s="7">
        <v>0.0</v>
      </c>
      <c r="G8" s="7">
        <v>0.0</v>
      </c>
      <c r="H8" s="9">
        <v>0.0</v>
      </c>
      <c r="I8" s="7">
        <v>0.0</v>
      </c>
      <c r="J8" s="7">
        <v>0.0</v>
      </c>
      <c r="K8" s="9">
        <v>0.0</v>
      </c>
      <c r="L8" s="7">
        <v>0.0</v>
      </c>
      <c r="M8" s="7">
        <v>0.0</v>
      </c>
      <c r="N8" s="10">
        <f t="shared" si="2"/>
        <v>0</v>
      </c>
      <c r="O8" s="7">
        <v>0.0</v>
      </c>
      <c r="P8" s="7">
        <v>0.0</v>
      </c>
      <c r="Q8" s="7">
        <v>0.0</v>
      </c>
      <c r="R8" s="7">
        <v>2.0</v>
      </c>
      <c r="S8" s="7">
        <v>0.0</v>
      </c>
    </row>
    <row r="9">
      <c r="A9" s="5">
        <v>4.0</v>
      </c>
      <c r="B9" s="6">
        <v>0.0</v>
      </c>
      <c r="C9" s="7">
        <v>0.0</v>
      </c>
      <c r="D9" s="7">
        <v>2.0</v>
      </c>
      <c r="E9" s="8">
        <f t="shared" ref="E9:E10" si="3">C9/D9</f>
        <v>0</v>
      </c>
      <c r="F9" s="7">
        <v>0.0</v>
      </c>
      <c r="G9" s="7">
        <v>0.0</v>
      </c>
      <c r="H9" s="9">
        <v>0.0</v>
      </c>
      <c r="I9" s="7">
        <v>0.0</v>
      </c>
      <c r="J9" s="7">
        <v>0.0</v>
      </c>
      <c r="K9" s="9">
        <v>0.0</v>
      </c>
      <c r="L9" s="7">
        <v>0.0</v>
      </c>
      <c r="M9" s="7">
        <v>0.0</v>
      </c>
      <c r="N9" s="10">
        <f t="shared" si="2"/>
        <v>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</row>
    <row r="10">
      <c r="A10" s="5">
        <v>7.0</v>
      </c>
      <c r="B10" s="6">
        <v>2.0</v>
      </c>
      <c r="C10" s="7">
        <v>2.0</v>
      </c>
      <c r="D10" s="7">
        <v>4.0</v>
      </c>
      <c r="E10" s="8">
        <f t="shared" si="3"/>
        <v>0.5</v>
      </c>
      <c r="F10" s="7">
        <v>0.0</v>
      </c>
      <c r="G10" s="7">
        <v>0.0</v>
      </c>
      <c r="H10" s="9">
        <v>0.0</v>
      </c>
      <c r="I10" s="7">
        <v>0.0</v>
      </c>
      <c r="J10" s="7">
        <v>0.0</v>
      </c>
      <c r="K10" s="9">
        <v>0.0</v>
      </c>
      <c r="L10" s="7">
        <v>1.0</v>
      </c>
      <c r="M10" s="7">
        <v>1.0</v>
      </c>
      <c r="N10" s="10">
        <f t="shared" si="2"/>
        <v>2</v>
      </c>
      <c r="O10" s="7">
        <v>0.0</v>
      </c>
      <c r="P10" s="7">
        <v>0.0</v>
      </c>
      <c r="Q10" s="7">
        <v>0.0</v>
      </c>
      <c r="R10" s="7">
        <v>1.0</v>
      </c>
      <c r="S10" s="7">
        <v>0.0</v>
      </c>
    </row>
    <row r="11">
      <c r="A11" s="6" t="s">
        <v>20</v>
      </c>
      <c r="B11" s="11">
        <f t="shared" ref="B11:D11" si="4">SUM(B6:B10)</f>
        <v>3</v>
      </c>
      <c r="C11" s="11">
        <f t="shared" si="4"/>
        <v>3</v>
      </c>
      <c r="D11" s="11">
        <f t="shared" si="4"/>
        <v>25</v>
      </c>
      <c r="E11" s="12">
        <f>AVERAGE(E6:E10)</f>
        <v>0.1133333333</v>
      </c>
      <c r="F11" s="13">
        <v>0.0</v>
      </c>
      <c r="G11" s="13">
        <v>0.0</v>
      </c>
      <c r="H11" s="12">
        <f>AVERAGE(H6:H10)</f>
        <v>0</v>
      </c>
      <c r="I11" s="13">
        <v>0.0</v>
      </c>
      <c r="J11" s="13">
        <v>0.0</v>
      </c>
      <c r="K11" s="12">
        <f>AVERAGE(K6:K10)</f>
        <v>0</v>
      </c>
      <c r="L11" s="11">
        <f t="shared" ref="L11:S11" si="5">SUM(L6:L10)</f>
        <v>8</v>
      </c>
      <c r="M11" s="11">
        <f t="shared" si="5"/>
        <v>10</v>
      </c>
      <c r="N11" s="11">
        <f t="shared" si="5"/>
        <v>18</v>
      </c>
      <c r="O11" s="11">
        <f t="shared" si="5"/>
        <v>0</v>
      </c>
      <c r="P11" s="11">
        <f t="shared" si="5"/>
        <v>0</v>
      </c>
      <c r="Q11" s="11">
        <f t="shared" si="5"/>
        <v>0</v>
      </c>
      <c r="R11" s="11">
        <f t="shared" si="5"/>
        <v>11</v>
      </c>
      <c r="S11" s="11">
        <f t="shared" si="5"/>
        <v>1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4"/>
      <c r="P12" s="2"/>
      <c r="Q12" s="2"/>
      <c r="R12" s="2"/>
      <c r="S12" s="2"/>
    </row>
    <row r="13">
      <c r="A13" s="15" t="s">
        <v>21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16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  <c r="K14" s="4" t="s">
        <v>11</v>
      </c>
      <c r="L14" s="4" t="s">
        <v>12</v>
      </c>
      <c r="M14" s="4" t="s">
        <v>13</v>
      </c>
      <c r="N14" s="4" t="s">
        <v>14</v>
      </c>
      <c r="O14" s="4" t="s">
        <v>15</v>
      </c>
      <c r="P14" s="4" t="s">
        <v>16</v>
      </c>
      <c r="Q14" s="4" t="s">
        <v>17</v>
      </c>
      <c r="R14" s="4" t="s">
        <v>18</v>
      </c>
      <c r="S14" s="4" t="s">
        <v>19</v>
      </c>
    </row>
    <row r="15">
      <c r="A15" s="5">
        <v>2.0</v>
      </c>
      <c r="B15" s="6">
        <v>0.0</v>
      </c>
      <c r="C15" s="7">
        <v>0.0</v>
      </c>
      <c r="D15" s="7">
        <v>3.0</v>
      </c>
      <c r="E15" s="8">
        <f t="shared" ref="E15:E17" si="6">C15/D15</f>
        <v>0</v>
      </c>
      <c r="F15" s="7">
        <v>0.0</v>
      </c>
      <c r="G15" s="7">
        <v>1.0</v>
      </c>
      <c r="H15" s="9">
        <v>0.0</v>
      </c>
      <c r="I15" s="7">
        <v>0.0</v>
      </c>
      <c r="J15" s="7">
        <v>0.0</v>
      </c>
      <c r="K15" s="9">
        <v>0.0</v>
      </c>
      <c r="L15" s="7">
        <v>1.0</v>
      </c>
      <c r="M15" s="7">
        <v>2.0</v>
      </c>
      <c r="N15" s="10">
        <f t="shared" ref="N15:N16" si="7">L15+M15</f>
        <v>3</v>
      </c>
      <c r="O15" s="7">
        <v>0.0</v>
      </c>
      <c r="P15" s="7">
        <v>1.0</v>
      </c>
      <c r="Q15" s="7">
        <v>0.0</v>
      </c>
      <c r="R15" s="7">
        <v>0.0</v>
      </c>
      <c r="S15" s="7">
        <v>1.0</v>
      </c>
    </row>
    <row r="16">
      <c r="A16" s="5">
        <v>5.0</v>
      </c>
      <c r="B16" s="6">
        <v>6.0</v>
      </c>
      <c r="C16" s="7">
        <v>6.0</v>
      </c>
      <c r="D16" s="7">
        <v>16.0</v>
      </c>
      <c r="E16" s="8">
        <f t="shared" si="6"/>
        <v>0.375</v>
      </c>
      <c r="F16" s="7">
        <v>0.0</v>
      </c>
      <c r="G16" s="7">
        <v>0.0</v>
      </c>
      <c r="H16" s="9">
        <v>0.0</v>
      </c>
      <c r="I16" s="7">
        <v>0.0</v>
      </c>
      <c r="J16" s="7">
        <v>0.0</v>
      </c>
      <c r="K16" s="9">
        <v>0.0</v>
      </c>
      <c r="L16" s="7">
        <v>11.0</v>
      </c>
      <c r="M16" s="7">
        <v>4.0</v>
      </c>
      <c r="N16" s="10">
        <f t="shared" si="7"/>
        <v>15</v>
      </c>
      <c r="O16" s="7">
        <v>0.0</v>
      </c>
      <c r="P16" s="7">
        <v>1.0</v>
      </c>
      <c r="Q16" s="7">
        <v>1.0</v>
      </c>
      <c r="R16" s="7">
        <v>2.0</v>
      </c>
      <c r="S16" s="7">
        <v>0.0</v>
      </c>
    </row>
    <row r="17">
      <c r="A17" s="5">
        <v>4.0</v>
      </c>
      <c r="B17" s="6">
        <v>0.0</v>
      </c>
      <c r="C17" s="7">
        <v>0.0</v>
      </c>
      <c r="D17" s="7">
        <v>12.0</v>
      </c>
      <c r="E17" s="8">
        <f t="shared" si="6"/>
        <v>0</v>
      </c>
      <c r="F17" s="7">
        <v>0.0</v>
      </c>
      <c r="G17" s="7">
        <v>2.0</v>
      </c>
      <c r="H17" s="9">
        <v>0.0</v>
      </c>
      <c r="I17" s="7">
        <v>0.0</v>
      </c>
      <c r="J17" s="7">
        <v>0.0</v>
      </c>
      <c r="K17" s="9">
        <v>0.0</v>
      </c>
      <c r="L17" s="7">
        <v>1.0</v>
      </c>
      <c r="M17" s="7">
        <v>3.0</v>
      </c>
      <c r="N17" s="7">
        <v>4.0</v>
      </c>
      <c r="O17" s="7">
        <v>1.0</v>
      </c>
      <c r="P17" s="7">
        <v>4.0</v>
      </c>
      <c r="Q17" s="7">
        <v>2.0</v>
      </c>
      <c r="R17" s="7">
        <v>2.0</v>
      </c>
      <c r="S17" s="7">
        <v>0.0</v>
      </c>
    </row>
    <row r="18">
      <c r="A18" s="6" t="s">
        <v>20</v>
      </c>
      <c r="B18" s="11">
        <f t="shared" ref="B18:D18" si="8">SUM(B13:B17)</f>
        <v>6</v>
      </c>
      <c r="C18" s="11">
        <f t="shared" si="8"/>
        <v>6</v>
      </c>
      <c r="D18" s="11">
        <f t="shared" si="8"/>
        <v>31</v>
      </c>
      <c r="E18" s="12">
        <f>AVERAGE(E13:E17)</f>
        <v>0.125</v>
      </c>
      <c r="F18" s="13">
        <v>0.0</v>
      </c>
      <c r="G18" s="13">
        <v>0.0</v>
      </c>
      <c r="H18" s="12">
        <f>AVERAGE(H13:H17)</f>
        <v>0</v>
      </c>
      <c r="I18" s="13">
        <v>0.0</v>
      </c>
      <c r="J18" s="13">
        <v>0.0</v>
      </c>
      <c r="K18" s="12">
        <f>AVERAGE(K13:K17)</f>
        <v>0</v>
      </c>
      <c r="L18" s="11">
        <f t="shared" ref="L18:S18" si="9">SUM(L13:L17)</f>
        <v>13</v>
      </c>
      <c r="M18" s="11">
        <f t="shared" si="9"/>
        <v>9</v>
      </c>
      <c r="N18" s="11">
        <f t="shared" si="9"/>
        <v>22</v>
      </c>
      <c r="O18" s="11">
        <f t="shared" si="9"/>
        <v>1</v>
      </c>
      <c r="P18" s="11">
        <f t="shared" si="9"/>
        <v>6</v>
      </c>
      <c r="Q18" s="11">
        <f t="shared" si="9"/>
        <v>3</v>
      </c>
      <c r="R18" s="11">
        <f t="shared" si="9"/>
        <v>4</v>
      </c>
      <c r="S18" s="11">
        <f t="shared" si="9"/>
        <v>1</v>
      </c>
    </row>
    <row r="20">
      <c r="U20" s="17" t="s">
        <v>22</v>
      </c>
      <c r="V20" s="18" t="s">
        <v>21</v>
      </c>
    </row>
    <row r="21">
      <c r="U21" s="17" t="s">
        <v>23</v>
      </c>
      <c r="V21" s="18" t="s">
        <v>0</v>
      </c>
    </row>
    <row r="22">
      <c r="U22" s="17" t="s">
        <v>24</v>
      </c>
      <c r="V22" s="18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75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4">
      <c r="A4" s="1" t="s">
        <v>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3.0</v>
      </c>
      <c r="C6" s="7">
        <v>3.0</v>
      </c>
      <c r="D6" s="7">
        <v>7.0</v>
      </c>
      <c r="E6" s="8">
        <f t="shared" ref="E6:E7" si="1">C6/D6</f>
        <v>0.4285714286</v>
      </c>
      <c r="F6" s="7">
        <v>0.0</v>
      </c>
      <c r="G6" s="7">
        <v>0.0</v>
      </c>
      <c r="H6" s="9">
        <v>0.0</v>
      </c>
      <c r="I6" s="7">
        <v>0.0</v>
      </c>
      <c r="J6" s="7">
        <v>0.0</v>
      </c>
      <c r="K6" s="9">
        <v>0.0</v>
      </c>
      <c r="L6" s="7">
        <v>2.0</v>
      </c>
      <c r="M6" s="7">
        <v>2.0</v>
      </c>
      <c r="N6" s="10">
        <f t="shared" ref="N6:N10" si="2">L6+M6</f>
        <v>4</v>
      </c>
      <c r="O6" s="7">
        <v>1.0</v>
      </c>
      <c r="P6" s="7">
        <v>0.0</v>
      </c>
      <c r="Q6" s="7">
        <v>0.0</v>
      </c>
      <c r="R6" s="7">
        <v>0.0</v>
      </c>
      <c r="S6" s="7">
        <v>0.0</v>
      </c>
    </row>
    <row r="7">
      <c r="A7" s="5">
        <v>12.0</v>
      </c>
      <c r="B7" s="6">
        <v>3.0</v>
      </c>
      <c r="C7" s="7">
        <v>3.0</v>
      </c>
      <c r="D7" s="7">
        <v>6.0</v>
      </c>
      <c r="E7" s="8">
        <f t="shared" si="1"/>
        <v>0.5</v>
      </c>
      <c r="F7" s="7">
        <v>0.0</v>
      </c>
      <c r="G7" s="7">
        <v>0.0</v>
      </c>
      <c r="H7" s="9">
        <v>0.0</v>
      </c>
      <c r="I7" s="7">
        <v>0.0</v>
      </c>
      <c r="J7" s="7">
        <v>0.0</v>
      </c>
      <c r="K7" s="9">
        <v>0.0</v>
      </c>
      <c r="L7" s="7">
        <v>1.0</v>
      </c>
      <c r="M7" s="7">
        <v>1.0</v>
      </c>
      <c r="N7" s="10">
        <f t="shared" si="2"/>
        <v>2</v>
      </c>
      <c r="O7" s="7">
        <v>0.0</v>
      </c>
      <c r="P7" s="7">
        <v>1.0</v>
      </c>
      <c r="Q7" s="7">
        <v>0.0</v>
      </c>
      <c r="R7" s="7">
        <v>3.0</v>
      </c>
      <c r="S7" s="7">
        <v>0.0</v>
      </c>
    </row>
    <row r="8">
      <c r="A8" s="5">
        <v>3.0</v>
      </c>
      <c r="B8" s="6">
        <v>0.0</v>
      </c>
      <c r="C8" s="7">
        <v>0.0</v>
      </c>
      <c r="D8" s="7">
        <v>0.0</v>
      </c>
      <c r="E8" s="9">
        <v>0.0</v>
      </c>
      <c r="F8" s="7">
        <v>0.0</v>
      </c>
      <c r="G8" s="7">
        <v>0.0</v>
      </c>
      <c r="H8" s="9">
        <v>0.0</v>
      </c>
      <c r="I8" s="7">
        <v>0.0</v>
      </c>
      <c r="J8" s="7">
        <v>0.0</v>
      </c>
      <c r="K8" s="9">
        <v>0.0</v>
      </c>
      <c r="L8" s="7">
        <v>0.0</v>
      </c>
      <c r="M8" s="7">
        <v>1.0</v>
      </c>
      <c r="N8" s="10">
        <f t="shared" si="2"/>
        <v>1</v>
      </c>
      <c r="O8" s="7">
        <v>1.0</v>
      </c>
      <c r="P8" s="7">
        <v>1.0</v>
      </c>
      <c r="Q8" s="7">
        <v>0.0</v>
      </c>
      <c r="R8" s="7">
        <v>1.0</v>
      </c>
      <c r="S8" s="7">
        <v>0.0</v>
      </c>
    </row>
    <row r="9">
      <c r="A9" s="5">
        <v>4.0</v>
      </c>
      <c r="B9" s="6">
        <v>0.0</v>
      </c>
      <c r="C9" s="7">
        <v>0.0</v>
      </c>
      <c r="D9" s="7">
        <v>1.0</v>
      </c>
      <c r="E9" s="8">
        <f t="shared" ref="E9:E10" si="3">C9/D9</f>
        <v>0</v>
      </c>
      <c r="F9" s="7">
        <v>0.0</v>
      </c>
      <c r="G9" s="7">
        <v>0.0</v>
      </c>
      <c r="H9" s="9">
        <v>0.0</v>
      </c>
      <c r="I9" s="7">
        <v>0.0</v>
      </c>
      <c r="J9" s="7">
        <v>0.0</v>
      </c>
      <c r="K9" s="9">
        <v>0.0</v>
      </c>
      <c r="L9" s="7">
        <v>0.0</v>
      </c>
      <c r="M9" s="7">
        <v>0.0</v>
      </c>
      <c r="N9" s="10">
        <f t="shared" si="2"/>
        <v>0</v>
      </c>
      <c r="O9" s="7">
        <v>0.0</v>
      </c>
      <c r="P9" s="7">
        <v>1.0</v>
      </c>
      <c r="Q9" s="7">
        <v>0.0</v>
      </c>
      <c r="R9" s="7">
        <v>0.0</v>
      </c>
      <c r="S9" s="7">
        <v>0.0</v>
      </c>
    </row>
    <row r="10">
      <c r="A10" s="5">
        <v>7.0</v>
      </c>
      <c r="B10" s="6">
        <v>1.0</v>
      </c>
      <c r="C10" s="7">
        <v>1.0</v>
      </c>
      <c r="D10" s="7">
        <v>4.0</v>
      </c>
      <c r="E10" s="8">
        <f t="shared" si="3"/>
        <v>0.25</v>
      </c>
      <c r="F10" s="7">
        <v>0.0</v>
      </c>
      <c r="G10" s="7">
        <v>0.0</v>
      </c>
      <c r="H10" s="9">
        <v>0.0</v>
      </c>
      <c r="I10" s="7">
        <v>0.0</v>
      </c>
      <c r="J10" s="7">
        <v>0.0</v>
      </c>
      <c r="K10" s="9">
        <v>0.0</v>
      </c>
      <c r="L10" s="7">
        <v>1.0</v>
      </c>
      <c r="M10" s="7">
        <v>1.0</v>
      </c>
      <c r="N10" s="10">
        <f t="shared" si="2"/>
        <v>2</v>
      </c>
      <c r="O10" s="7">
        <v>0.0</v>
      </c>
      <c r="P10" s="7">
        <v>0.0</v>
      </c>
      <c r="Q10" s="7">
        <v>0.0</v>
      </c>
      <c r="R10" s="7">
        <v>2.0</v>
      </c>
      <c r="S10" s="7">
        <v>0.0</v>
      </c>
    </row>
    <row r="11">
      <c r="A11" s="6" t="s">
        <v>20</v>
      </c>
      <c r="B11" s="11">
        <f t="shared" ref="B11:D11" si="4">SUM(B6:B10)</f>
        <v>7</v>
      </c>
      <c r="C11" s="11">
        <f t="shared" si="4"/>
        <v>7</v>
      </c>
      <c r="D11" s="11">
        <f t="shared" si="4"/>
        <v>18</v>
      </c>
      <c r="E11" s="12">
        <f>AVERAGE(E6:E10)</f>
        <v>0.2357142857</v>
      </c>
      <c r="F11" s="13">
        <v>0.0</v>
      </c>
      <c r="G11" s="13">
        <v>0.0</v>
      </c>
      <c r="H11" s="12">
        <f>AVERAGE(H6:H10)</f>
        <v>0</v>
      </c>
      <c r="I11" s="13">
        <v>0.0</v>
      </c>
      <c r="J11" s="13">
        <v>0.0</v>
      </c>
      <c r="K11" s="12">
        <f>AVERAGE(K6:K10)</f>
        <v>0</v>
      </c>
      <c r="L11" s="11">
        <f t="shared" ref="L11:S11" si="5">SUM(L6:L10)</f>
        <v>4</v>
      </c>
      <c r="M11" s="11">
        <f t="shared" si="5"/>
        <v>5</v>
      </c>
      <c r="N11" s="11">
        <f t="shared" si="5"/>
        <v>9</v>
      </c>
      <c r="O11" s="11">
        <f t="shared" si="5"/>
        <v>2</v>
      </c>
      <c r="P11" s="11">
        <f t="shared" si="5"/>
        <v>3</v>
      </c>
      <c r="Q11" s="11">
        <f t="shared" si="5"/>
        <v>0</v>
      </c>
      <c r="R11" s="11">
        <f t="shared" si="5"/>
        <v>6</v>
      </c>
      <c r="S11" s="11">
        <f t="shared" si="5"/>
        <v>0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4"/>
      <c r="P12" s="2"/>
      <c r="Q12" s="2"/>
      <c r="R12" s="2"/>
      <c r="S12" s="2"/>
    </row>
    <row r="13">
      <c r="A13" s="15" t="s">
        <v>27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16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  <c r="K14" s="4" t="s">
        <v>11</v>
      </c>
      <c r="L14" s="4" t="s">
        <v>12</v>
      </c>
      <c r="M14" s="4" t="s">
        <v>13</v>
      </c>
      <c r="N14" s="4" t="s">
        <v>14</v>
      </c>
      <c r="O14" s="4" t="s">
        <v>15</v>
      </c>
      <c r="P14" s="4" t="s">
        <v>16</v>
      </c>
      <c r="Q14" s="4" t="s">
        <v>17</v>
      </c>
      <c r="R14" s="4" t="s">
        <v>18</v>
      </c>
      <c r="S14" s="4" t="s">
        <v>19</v>
      </c>
    </row>
    <row r="15">
      <c r="A15" s="5">
        <v>11.0</v>
      </c>
      <c r="B15" s="6">
        <v>1.0</v>
      </c>
      <c r="C15" s="7">
        <v>1.0</v>
      </c>
      <c r="D15" s="7">
        <v>6.0</v>
      </c>
      <c r="E15" s="8">
        <f t="shared" ref="E15:E16" si="6">C15/D15</f>
        <v>0.1666666667</v>
      </c>
      <c r="F15" s="7">
        <v>0.0</v>
      </c>
      <c r="G15" s="7">
        <v>0.0</v>
      </c>
      <c r="H15" s="9">
        <v>0.0</v>
      </c>
      <c r="I15" s="7">
        <v>0.0</v>
      </c>
      <c r="J15" s="7">
        <v>0.0</v>
      </c>
      <c r="K15" s="9">
        <v>0.0</v>
      </c>
      <c r="L15" s="7">
        <v>0.0</v>
      </c>
      <c r="M15" s="7">
        <v>2.0</v>
      </c>
      <c r="N15" s="10">
        <f t="shared" ref="N15:N18" si="7">L15+M15</f>
        <v>2</v>
      </c>
      <c r="O15" s="7">
        <v>0.0</v>
      </c>
      <c r="P15" s="7">
        <v>0.0</v>
      </c>
      <c r="Q15" s="7">
        <v>0.0</v>
      </c>
      <c r="R15" s="7">
        <v>3.0</v>
      </c>
      <c r="S15" s="7">
        <v>0.0</v>
      </c>
    </row>
    <row r="16">
      <c r="A16" s="5">
        <v>8.0</v>
      </c>
      <c r="B16" s="6">
        <v>0.0</v>
      </c>
      <c r="C16" s="7">
        <v>0.0</v>
      </c>
      <c r="D16" s="7">
        <v>4.0</v>
      </c>
      <c r="E16" s="8">
        <f t="shared" si="6"/>
        <v>0</v>
      </c>
      <c r="F16" s="7">
        <v>0.0</v>
      </c>
      <c r="G16" s="7">
        <v>0.0</v>
      </c>
      <c r="H16" s="9">
        <v>0.0</v>
      </c>
      <c r="I16" s="7">
        <v>0.0</v>
      </c>
      <c r="J16" s="7">
        <v>0.0</v>
      </c>
      <c r="K16" s="9">
        <v>0.0</v>
      </c>
      <c r="L16" s="7">
        <v>1.0</v>
      </c>
      <c r="M16" s="7">
        <v>0.0</v>
      </c>
      <c r="N16" s="10">
        <f t="shared" si="7"/>
        <v>1</v>
      </c>
      <c r="O16" s="7">
        <v>0.0</v>
      </c>
      <c r="P16" s="7">
        <v>0.0</v>
      </c>
      <c r="Q16" s="7">
        <v>0.0</v>
      </c>
      <c r="R16" s="7">
        <v>1.0</v>
      </c>
      <c r="S16" s="7">
        <v>0.0</v>
      </c>
    </row>
    <row r="17">
      <c r="A17" s="5">
        <v>10.0</v>
      </c>
      <c r="B17" s="6">
        <v>0.0</v>
      </c>
      <c r="C17" s="7">
        <v>0.0</v>
      </c>
      <c r="D17" s="7">
        <v>0.0</v>
      </c>
      <c r="E17" s="9">
        <v>0.0</v>
      </c>
      <c r="F17" s="7">
        <v>0.0</v>
      </c>
      <c r="G17" s="7">
        <v>0.0</v>
      </c>
      <c r="H17" s="9">
        <v>0.0</v>
      </c>
      <c r="I17" s="7">
        <v>0.0</v>
      </c>
      <c r="J17" s="7">
        <v>0.0</v>
      </c>
      <c r="K17" s="9">
        <v>0.0</v>
      </c>
      <c r="L17" s="7">
        <v>0.0</v>
      </c>
      <c r="M17" s="7">
        <v>0.0</v>
      </c>
      <c r="N17" s="10">
        <f t="shared" si="7"/>
        <v>0</v>
      </c>
      <c r="O17" s="7">
        <v>1.0</v>
      </c>
      <c r="P17" s="7">
        <v>0.0</v>
      </c>
      <c r="Q17" s="7">
        <v>0.0</v>
      </c>
      <c r="R17" s="7">
        <v>1.0</v>
      </c>
      <c r="S17" s="7">
        <v>0.0</v>
      </c>
    </row>
    <row r="18">
      <c r="A18" s="5">
        <v>4.0</v>
      </c>
      <c r="B18" s="6">
        <v>0.0</v>
      </c>
      <c r="C18" s="7">
        <v>0.0</v>
      </c>
      <c r="D18" s="7">
        <v>0.0</v>
      </c>
      <c r="E18" s="9">
        <v>0.0</v>
      </c>
      <c r="F18" s="7">
        <v>0.0</v>
      </c>
      <c r="G18" s="7">
        <v>0.0</v>
      </c>
      <c r="H18" s="9">
        <v>0.0</v>
      </c>
      <c r="I18" s="7">
        <v>0.0</v>
      </c>
      <c r="J18" s="7">
        <v>0.0</v>
      </c>
      <c r="K18" s="9">
        <v>0.0</v>
      </c>
      <c r="L18" s="7">
        <v>0.0</v>
      </c>
      <c r="M18" s="7">
        <v>0.0</v>
      </c>
      <c r="N18" s="10">
        <f t="shared" si="7"/>
        <v>0</v>
      </c>
      <c r="O18" s="7">
        <v>0.0</v>
      </c>
      <c r="P18" s="7">
        <v>0.0</v>
      </c>
      <c r="Q18" s="7">
        <v>0.0</v>
      </c>
      <c r="R18" s="7">
        <v>0.0</v>
      </c>
      <c r="S18" s="7">
        <v>0.0</v>
      </c>
    </row>
    <row r="19">
      <c r="A19" s="6" t="s">
        <v>20</v>
      </c>
      <c r="B19" s="11">
        <f t="shared" ref="B19:D19" si="8">SUM(B14:B18)</f>
        <v>1</v>
      </c>
      <c r="C19" s="11">
        <f t="shared" si="8"/>
        <v>1</v>
      </c>
      <c r="D19" s="11">
        <f t="shared" si="8"/>
        <v>10</v>
      </c>
      <c r="E19" s="12">
        <f>AVERAGE(E14:E18)</f>
        <v>0.04166666667</v>
      </c>
      <c r="F19" s="13">
        <v>0.0</v>
      </c>
      <c r="G19" s="13">
        <v>0.0</v>
      </c>
      <c r="H19" s="12">
        <f>AVERAGE(H14:H18)</f>
        <v>0</v>
      </c>
      <c r="I19" s="13">
        <v>0.0</v>
      </c>
      <c r="J19" s="13">
        <v>0.0</v>
      </c>
      <c r="K19" s="12">
        <f>AVERAGE(K14:K18)</f>
        <v>0</v>
      </c>
      <c r="L19" s="11">
        <f t="shared" ref="L19:S19" si="9">SUM(L14:L18)</f>
        <v>1</v>
      </c>
      <c r="M19" s="11">
        <f t="shared" si="9"/>
        <v>2</v>
      </c>
      <c r="N19" s="11">
        <f t="shared" si="9"/>
        <v>3</v>
      </c>
      <c r="O19" s="11">
        <f t="shared" si="9"/>
        <v>1</v>
      </c>
      <c r="P19" s="11">
        <f t="shared" si="9"/>
        <v>0</v>
      </c>
      <c r="Q19" s="11">
        <f t="shared" si="9"/>
        <v>0</v>
      </c>
      <c r="R19" s="11">
        <f t="shared" si="9"/>
        <v>5</v>
      </c>
      <c r="S19" s="11">
        <f t="shared" si="9"/>
        <v>0</v>
      </c>
    </row>
    <row r="21">
      <c r="U21" s="17" t="s">
        <v>22</v>
      </c>
      <c r="V21" s="18" t="s">
        <v>0</v>
      </c>
    </row>
    <row r="22">
      <c r="U22" s="17" t="s">
        <v>23</v>
      </c>
      <c r="V22" s="18" t="s">
        <v>27</v>
      </c>
    </row>
    <row r="23">
      <c r="U23" s="17" t="s">
        <v>24</v>
      </c>
      <c r="V23" s="18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75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4">
      <c r="A4" s="1" t="s">
        <v>28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2.0</v>
      </c>
      <c r="C6" s="7">
        <v>2.0</v>
      </c>
      <c r="D6" s="7">
        <v>3.0</v>
      </c>
      <c r="E6" s="8">
        <f t="shared" ref="E6:E8" si="1">C6/D6</f>
        <v>0.6666666667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9">
        <v>0.0</v>
      </c>
      <c r="L6" s="7">
        <v>3.0</v>
      </c>
      <c r="M6" s="7">
        <v>3.0</v>
      </c>
      <c r="N6" s="10">
        <f t="shared" ref="N6:N10" si="2">L6+M6</f>
        <v>6</v>
      </c>
      <c r="O6" s="7">
        <v>0.0</v>
      </c>
      <c r="P6" s="7">
        <v>1.0</v>
      </c>
      <c r="Q6" s="7">
        <v>0.0</v>
      </c>
      <c r="R6" s="7">
        <v>2.0</v>
      </c>
      <c r="S6" s="7">
        <v>0.0</v>
      </c>
    </row>
    <row r="7">
      <c r="A7" s="5">
        <v>2.0</v>
      </c>
      <c r="B7" s="6">
        <v>2.0</v>
      </c>
      <c r="C7" s="7">
        <v>2.0</v>
      </c>
      <c r="D7" s="7">
        <v>9.0</v>
      </c>
      <c r="E7" s="8">
        <f t="shared" si="1"/>
        <v>0.2222222222</v>
      </c>
      <c r="F7" s="7">
        <v>0.0</v>
      </c>
      <c r="G7" s="7">
        <v>0.0</v>
      </c>
      <c r="H7" s="7">
        <v>0.0</v>
      </c>
      <c r="I7" s="7">
        <v>0.0</v>
      </c>
      <c r="J7" s="7">
        <v>1.0</v>
      </c>
      <c r="K7" s="9">
        <v>0.0</v>
      </c>
      <c r="L7" s="7">
        <v>0.0</v>
      </c>
      <c r="M7" s="7">
        <v>3.0</v>
      </c>
      <c r="N7" s="10">
        <f t="shared" si="2"/>
        <v>3</v>
      </c>
      <c r="O7" s="7">
        <v>0.0</v>
      </c>
      <c r="P7" s="7">
        <v>0.0</v>
      </c>
      <c r="Q7" s="7">
        <v>0.0</v>
      </c>
      <c r="R7" s="7">
        <v>2.0</v>
      </c>
      <c r="S7" s="7">
        <v>1.0</v>
      </c>
    </row>
    <row r="8">
      <c r="A8" s="5">
        <v>3.0</v>
      </c>
      <c r="B8" s="6">
        <v>2.0</v>
      </c>
      <c r="C8" s="7">
        <v>2.0</v>
      </c>
      <c r="D8" s="7">
        <v>2.0</v>
      </c>
      <c r="E8" s="8">
        <f t="shared" si="1"/>
        <v>1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9">
        <v>0.0</v>
      </c>
      <c r="L8" s="7">
        <v>2.0</v>
      </c>
      <c r="M8" s="7">
        <v>0.0</v>
      </c>
      <c r="N8" s="10">
        <f t="shared" si="2"/>
        <v>2</v>
      </c>
      <c r="O8" s="7">
        <v>0.0</v>
      </c>
      <c r="P8" s="7">
        <v>0.0</v>
      </c>
      <c r="Q8" s="7">
        <v>0.0</v>
      </c>
      <c r="R8" s="7">
        <v>1.0</v>
      </c>
      <c r="S8" s="7">
        <v>0.0</v>
      </c>
    </row>
    <row r="9">
      <c r="A9" s="5">
        <v>4.0</v>
      </c>
      <c r="B9" s="6">
        <v>0.0</v>
      </c>
      <c r="C9" s="7">
        <v>0.0</v>
      </c>
      <c r="D9" s="7">
        <v>0.0</v>
      </c>
      <c r="E9" s="9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9">
        <v>0.0</v>
      </c>
      <c r="L9" s="7">
        <v>0.0</v>
      </c>
      <c r="M9" s="7">
        <v>1.0</v>
      </c>
      <c r="N9" s="10">
        <f t="shared" si="2"/>
        <v>1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</row>
    <row r="10">
      <c r="A10" s="5">
        <v>5.0</v>
      </c>
      <c r="B10" s="6">
        <v>0.0</v>
      </c>
      <c r="C10" s="7">
        <v>0.0</v>
      </c>
      <c r="D10" s="7">
        <v>2.0</v>
      </c>
      <c r="E10" s="8">
        <f>C10/D10</f>
        <v>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9">
        <v>0.0</v>
      </c>
      <c r="L10" s="7">
        <v>0.0</v>
      </c>
      <c r="M10" s="7">
        <v>0.0</v>
      </c>
      <c r="N10" s="10">
        <f t="shared" si="2"/>
        <v>0</v>
      </c>
      <c r="O10" s="7">
        <v>0.0</v>
      </c>
      <c r="P10" s="7">
        <v>1.0</v>
      </c>
      <c r="Q10" s="7">
        <v>0.0</v>
      </c>
      <c r="R10" s="7">
        <v>1.0</v>
      </c>
      <c r="S10" s="7">
        <v>0.0</v>
      </c>
    </row>
    <row r="11">
      <c r="A11" s="6" t="s">
        <v>20</v>
      </c>
      <c r="B11" s="11">
        <f t="shared" ref="B11:D11" si="3">SUM(B6:B10)</f>
        <v>6</v>
      </c>
      <c r="C11" s="11">
        <f t="shared" si="3"/>
        <v>6</v>
      </c>
      <c r="D11" s="11">
        <f t="shared" si="3"/>
        <v>16</v>
      </c>
      <c r="E11" s="12">
        <f>AVERAGE(E6:E10)</f>
        <v>0.3777777778</v>
      </c>
      <c r="F11" s="13">
        <v>0.0</v>
      </c>
      <c r="G11" s="13">
        <v>0.0</v>
      </c>
      <c r="H11" s="12">
        <f>AVERAGE(H6:H10)</f>
        <v>0</v>
      </c>
      <c r="I11" s="13">
        <v>0.0</v>
      </c>
      <c r="J11" s="13">
        <v>0.0</v>
      </c>
      <c r="K11" s="12">
        <f>AVERAGE(K6:K10)</f>
        <v>0</v>
      </c>
      <c r="L11" s="11">
        <f t="shared" ref="L11:S11" si="4">SUM(L6:L10)</f>
        <v>5</v>
      </c>
      <c r="M11" s="11">
        <f t="shared" si="4"/>
        <v>7</v>
      </c>
      <c r="N11" s="11">
        <f t="shared" si="4"/>
        <v>12</v>
      </c>
      <c r="O11" s="11">
        <f t="shared" si="4"/>
        <v>0</v>
      </c>
      <c r="P11" s="11">
        <f t="shared" si="4"/>
        <v>2</v>
      </c>
      <c r="Q11" s="11">
        <f t="shared" si="4"/>
        <v>0</v>
      </c>
      <c r="R11" s="11">
        <f t="shared" si="4"/>
        <v>6</v>
      </c>
      <c r="S11" s="11">
        <f t="shared" si="4"/>
        <v>1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4"/>
      <c r="P12" s="2"/>
      <c r="Q12" s="2"/>
      <c r="R12" s="2"/>
      <c r="S12" s="2"/>
    </row>
    <row r="13">
      <c r="A13" s="15" t="s">
        <v>29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16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  <c r="K14" s="4" t="s">
        <v>11</v>
      </c>
      <c r="L14" s="4" t="s">
        <v>12</v>
      </c>
      <c r="M14" s="4" t="s">
        <v>13</v>
      </c>
      <c r="N14" s="4" t="s">
        <v>14</v>
      </c>
      <c r="O14" s="4" t="s">
        <v>15</v>
      </c>
      <c r="P14" s="4" t="s">
        <v>16</v>
      </c>
      <c r="Q14" s="4" t="s">
        <v>17</v>
      </c>
      <c r="R14" s="4" t="s">
        <v>18</v>
      </c>
      <c r="S14" s="4" t="s">
        <v>19</v>
      </c>
    </row>
    <row r="15">
      <c r="A15" s="5">
        <v>1.0</v>
      </c>
      <c r="B15" s="6">
        <v>5.0</v>
      </c>
      <c r="C15" s="7">
        <v>3.0</v>
      </c>
      <c r="D15" s="7">
        <v>19.0</v>
      </c>
      <c r="E15" s="8">
        <f t="shared" ref="E15:E17" si="5">C15/D15</f>
        <v>0.1578947368</v>
      </c>
      <c r="F15" s="7">
        <v>2.0</v>
      </c>
      <c r="G15" s="7">
        <v>10.0</v>
      </c>
      <c r="H15" s="8">
        <f>F15/G15</f>
        <v>0.2</v>
      </c>
      <c r="I15" s="7">
        <v>0.0</v>
      </c>
      <c r="J15" s="7">
        <v>0.0</v>
      </c>
      <c r="K15" s="9">
        <v>0.0</v>
      </c>
      <c r="L15" s="7">
        <v>0.0</v>
      </c>
      <c r="M15" s="7">
        <v>1.0</v>
      </c>
      <c r="N15" s="10">
        <f t="shared" ref="N15:N18" si="6">L15+M15</f>
        <v>1</v>
      </c>
      <c r="O15" s="7">
        <v>1.0</v>
      </c>
      <c r="P15" s="7">
        <v>2.0</v>
      </c>
      <c r="Q15" s="7">
        <v>0.0</v>
      </c>
      <c r="R15" s="7">
        <v>1.0</v>
      </c>
      <c r="S15" s="7">
        <v>1.0</v>
      </c>
    </row>
    <row r="16">
      <c r="A16" s="5">
        <v>2.0</v>
      </c>
      <c r="B16" s="6">
        <v>1.0</v>
      </c>
      <c r="C16" s="7">
        <v>1.0</v>
      </c>
      <c r="D16" s="7">
        <v>3.0</v>
      </c>
      <c r="E16" s="8">
        <f t="shared" si="5"/>
        <v>0.3333333333</v>
      </c>
      <c r="F16" s="7">
        <v>0.0</v>
      </c>
      <c r="G16" s="7">
        <v>1.0</v>
      </c>
      <c r="H16" s="9">
        <v>0.0</v>
      </c>
      <c r="I16" s="7">
        <v>0.0</v>
      </c>
      <c r="J16" s="7">
        <v>0.0</v>
      </c>
      <c r="K16" s="9">
        <v>0.0</v>
      </c>
      <c r="L16" s="7">
        <v>0.0</v>
      </c>
      <c r="M16" s="7">
        <v>4.0</v>
      </c>
      <c r="N16" s="10">
        <f t="shared" si="6"/>
        <v>4</v>
      </c>
      <c r="O16" s="7">
        <v>1.0</v>
      </c>
      <c r="P16" s="7">
        <v>0.0</v>
      </c>
      <c r="Q16" s="7">
        <v>0.0</v>
      </c>
      <c r="R16" s="7">
        <v>2.0</v>
      </c>
      <c r="S16" s="7">
        <v>0.0</v>
      </c>
    </row>
    <row r="17">
      <c r="A17" s="5">
        <v>3.0</v>
      </c>
      <c r="B17" s="6">
        <v>1.0</v>
      </c>
      <c r="C17" s="7">
        <v>1.0</v>
      </c>
      <c r="D17" s="7">
        <v>3.0</v>
      </c>
      <c r="E17" s="8">
        <f t="shared" si="5"/>
        <v>0.3333333333</v>
      </c>
      <c r="F17" s="7">
        <v>0.0</v>
      </c>
      <c r="G17" s="7">
        <v>0.0</v>
      </c>
      <c r="H17" s="9">
        <v>0.0</v>
      </c>
      <c r="I17" s="7">
        <v>0.0</v>
      </c>
      <c r="J17" s="7">
        <v>0.0</v>
      </c>
      <c r="K17" s="9">
        <v>0.0</v>
      </c>
      <c r="L17" s="7">
        <v>2.0</v>
      </c>
      <c r="M17" s="7">
        <v>1.0</v>
      </c>
      <c r="N17" s="10">
        <f t="shared" si="6"/>
        <v>3</v>
      </c>
      <c r="O17" s="7">
        <v>1.0</v>
      </c>
      <c r="P17" s="7">
        <v>1.0</v>
      </c>
      <c r="Q17" s="7">
        <v>3.0</v>
      </c>
      <c r="R17" s="7">
        <v>1.0</v>
      </c>
      <c r="S17" s="7">
        <v>1.0</v>
      </c>
    </row>
    <row r="18">
      <c r="A18" s="5">
        <v>4.0</v>
      </c>
      <c r="B18" s="6">
        <v>0.0</v>
      </c>
      <c r="C18" s="7">
        <v>0.0</v>
      </c>
      <c r="D18" s="7">
        <v>0.0</v>
      </c>
      <c r="E18" s="9">
        <v>0.0</v>
      </c>
      <c r="F18" s="7">
        <v>0.0</v>
      </c>
      <c r="G18" s="7">
        <v>0.0</v>
      </c>
      <c r="H18" s="9">
        <v>0.0</v>
      </c>
      <c r="I18" s="7">
        <v>0.0</v>
      </c>
      <c r="J18" s="7">
        <v>0.0</v>
      </c>
      <c r="K18" s="9">
        <v>0.0</v>
      </c>
      <c r="L18" s="7">
        <v>0.0</v>
      </c>
      <c r="M18" s="7">
        <v>1.0</v>
      </c>
      <c r="N18" s="10">
        <f t="shared" si="6"/>
        <v>1</v>
      </c>
      <c r="O18" s="7">
        <v>0.0</v>
      </c>
      <c r="P18" s="7">
        <v>0.0</v>
      </c>
      <c r="Q18" s="7">
        <v>0.0</v>
      </c>
      <c r="R18" s="7">
        <v>1.0</v>
      </c>
      <c r="S18" s="7">
        <v>0.0</v>
      </c>
    </row>
    <row r="19">
      <c r="A19" s="6" t="s">
        <v>20</v>
      </c>
      <c r="B19" s="11">
        <f t="shared" ref="B19:D19" si="7">SUM(B14:B18)</f>
        <v>7</v>
      </c>
      <c r="C19" s="11">
        <f t="shared" si="7"/>
        <v>5</v>
      </c>
      <c r="D19" s="11">
        <f t="shared" si="7"/>
        <v>25</v>
      </c>
      <c r="E19" s="12">
        <f>AVERAGE(E14:E18)</f>
        <v>0.2061403509</v>
      </c>
      <c r="F19" s="13">
        <v>0.0</v>
      </c>
      <c r="G19" s="13">
        <v>0.0</v>
      </c>
      <c r="H19" s="12">
        <f>AVERAGE(H14:H18)</f>
        <v>0.05</v>
      </c>
      <c r="I19" s="13">
        <v>0.0</v>
      </c>
      <c r="J19" s="13">
        <v>0.0</v>
      </c>
      <c r="K19" s="12">
        <f>AVERAGE(K14:K18)</f>
        <v>0</v>
      </c>
      <c r="L19" s="11">
        <f t="shared" ref="L19:S19" si="8">SUM(L14:L18)</f>
        <v>2</v>
      </c>
      <c r="M19" s="11">
        <f t="shared" si="8"/>
        <v>7</v>
      </c>
      <c r="N19" s="11">
        <f t="shared" si="8"/>
        <v>9</v>
      </c>
      <c r="O19" s="11">
        <f t="shared" si="8"/>
        <v>3</v>
      </c>
      <c r="P19" s="11">
        <f t="shared" si="8"/>
        <v>3</v>
      </c>
      <c r="Q19" s="11">
        <f t="shared" si="8"/>
        <v>3</v>
      </c>
      <c r="R19" s="11">
        <f t="shared" si="8"/>
        <v>5</v>
      </c>
      <c r="S19" s="11">
        <f t="shared" si="8"/>
        <v>2</v>
      </c>
    </row>
    <row r="21">
      <c r="U21" s="17" t="s">
        <v>22</v>
      </c>
      <c r="V21" s="18" t="s">
        <v>29</v>
      </c>
    </row>
    <row r="22">
      <c r="U22" s="17" t="s">
        <v>23</v>
      </c>
      <c r="V22" s="18" t="s">
        <v>28</v>
      </c>
    </row>
    <row r="23">
      <c r="U23" s="17" t="s">
        <v>24</v>
      </c>
      <c r="V23" s="18" t="s">
        <v>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63"/>
    <col customWidth="1" min="6" max="6" width="5.5"/>
    <col customWidth="1" min="7" max="7" width="4.13"/>
    <col customWidth="1" min="8" max="8" width="7.75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4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0.0</v>
      </c>
      <c r="C6" s="7">
        <v>0.0</v>
      </c>
      <c r="D6" s="7">
        <v>5.0</v>
      </c>
      <c r="E6" s="8">
        <f>C6/D6</f>
        <v>0</v>
      </c>
      <c r="F6" s="7">
        <v>0.0</v>
      </c>
      <c r="G6" s="7">
        <v>1.0</v>
      </c>
      <c r="H6" s="7">
        <v>0.0</v>
      </c>
      <c r="I6" s="7">
        <v>0.0</v>
      </c>
      <c r="J6" s="7">
        <v>0.0</v>
      </c>
      <c r="K6" s="9">
        <v>0.0</v>
      </c>
      <c r="L6" s="7">
        <v>1.0</v>
      </c>
      <c r="M6" s="7">
        <v>2.0</v>
      </c>
      <c r="N6" s="10">
        <f t="shared" ref="N6:N7" si="1">L6+M6</f>
        <v>3</v>
      </c>
      <c r="O6" s="7">
        <v>0.0</v>
      </c>
      <c r="P6" s="7">
        <v>1.0</v>
      </c>
      <c r="Q6" s="7">
        <v>0.0</v>
      </c>
      <c r="R6" s="7">
        <v>3.0</v>
      </c>
      <c r="S6" s="7">
        <v>0.0</v>
      </c>
    </row>
    <row r="7">
      <c r="A7" s="5">
        <v>12.0</v>
      </c>
      <c r="B7" s="6">
        <v>0.0</v>
      </c>
      <c r="C7" s="7">
        <v>0.0</v>
      </c>
      <c r="D7" s="7">
        <v>4.0</v>
      </c>
      <c r="E7" s="9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9">
        <v>0.0</v>
      </c>
      <c r="L7" s="7">
        <v>1.0</v>
      </c>
      <c r="M7" s="7">
        <v>2.0</v>
      </c>
      <c r="N7" s="10">
        <f t="shared" si="1"/>
        <v>3</v>
      </c>
      <c r="O7" s="7">
        <v>0.0</v>
      </c>
      <c r="P7" s="7">
        <v>1.0</v>
      </c>
      <c r="Q7" s="7">
        <v>0.0</v>
      </c>
      <c r="R7" s="7">
        <v>1.0</v>
      </c>
      <c r="S7" s="7">
        <v>0.0</v>
      </c>
    </row>
    <row r="8">
      <c r="A8" s="5">
        <v>7.0</v>
      </c>
      <c r="B8" s="6">
        <v>0.0</v>
      </c>
      <c r="C8" s="7">
        <v>0.0</v>
      </c>
      <c r="D8" s="7">
        <v>1.0</v>
      </c>
      <c r="E8" s="9">
        <v>0.0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9">
        <v>0.0</v>
      </c>
      <c r="L8" s="7">
        <v>0.0</v>
      </c>
      <c r="M8" s="7">
        <v>1.0</v>
      </c>
      <c r="N8" s="7">
        <v>0.0</v>
      </c>
      <c r="O8" s="7">
        <v>0.0</v>
      </c>
      <c r="P8" s="7">
        <v>1.0</v>
      </c>
      <c r="Q8" s="7">
        <v>0.0</v>
      </c>
      <c r="R8" s="7">
        <v>0.0</v>
      </c>
      <c r="S8" s="7">
        <v>0.0</v>
      </c>
    </row>
    <row r="9">
      <c r="A9" s="5">
        <v>3.0</v>
      </c>
      <c r="B9" s="6">
        <v>0.0</v>
      </c>
      <c r="C9" s="7">
        <v>0.0</v>
      </c>
      <c r="D9" s="7">
        <v>1.0</v>
      </c>
      <c r="E9" s="9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9">
        <v>0.0</v>
      </c>
      <c r="L9" s="7">
        <v>0.0</v>
      </c>
      <c r="M9" s="7">
        <v>0.0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</row>
    <row r="10">
      <c r="A10" s="5">
        <v>4.0</v>
      </c>
      <c r="B10" s="6">
        <v>0.0</v>
      </c>
      <c r="C10" s="7">
        <v>0.0</v>
      </c>
      <c r="D10" s="7">
        <v>3.0</v>
      </c>
      <c r="E10" s="9">
        <v>0.0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9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1.0</v>
      </c>
      <c r="S10" s="7">
        <v>0.0</v>
      </c>
    </row>
    <row r="11">
      <c r="A11" s="6" t="s">
        <v>20</v>
      </c>
      <c r="B11" s="11">
        <f t="shared" ref="B11:D11" si="2">SUM(B6:B10)</f>
        <v>0</v>
      </c>
      <c r="C11" s="11">
        <f t="shared" si="2"/>
        <v>0</v>
      </c>
      <c r="D11" s="11">
        <f t="shared" si="2"/>
        <v>14</v>
      </c>
      <c r="E11" s="12">
        <f>AVERAGE(E6:E10)</f>
        <v>0</v>
      </c>
      <c r="F11" s="13">
        <v>0.0</v>
      </c>
      <c r="G11" s="13">
        <v>0.0</v>
      </c>
      <c r="H11" s="12">
        <f>AVERAGE(H6:H10)</f>
        <v>0</v>
      </c>
      <c r="I11" s="13">
        <v>0.0</v>
      </c>
      <c r="J11" s="13">
        <v>0.0</v>
      </c>
      <c r="K11" s="12">
        <f>AVERAGE(K6:K10)</f>
        <v>0</v>
      </c>
      <c r="L11" s="11">
        <f t="shared" ref="L11:S11" si="3">SUM(L6:L10)</f>
        <v>2</v>
      </c>
      <c r="M11" s="11">
        <f t="shared" si="3"/>
        <v>5</v>
      </c>
      <c r="N11" s="11">
        <f t="shared" si="3"/>
        <v>6</v>
      </c>
      <c r="O11" s="11">
        <f t="shared" si="3"/>
        <v>0</v>
      </c>
      <c r="P11" s="11">
        <f t="shared" si="3"/>
        <v>3</v>
      </c>
      <c r="Q11" s="11">
        <f t="shared" si="3"/>
        <v>0</v>
      </c>
      <c r="R11" s="11">
        <f t="shared" si="3"/>
        <v>5</v>
      </c>
      <c r="S11" s="11">
        <f t="shared" si="3"/>
        <v>0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4"/>
      <c r="P12" s="2"/>
      <c r="Q12" s="2"/>
      <c r="R12" s="2"/>
      <c r="S12" s="2"/>
    </row>
    <row r="13">
      <c r="A13" s="15" t="s">
        <v>29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16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  <c r="K14" s="4" t="s">
        <v>11</v>
      </c>
      <c r="L14" s="4" t="s">
        <v>12</v>
      </c>
      <c r="M14" s="4" t="s">
        <v>13</v>
      </c>
      <c r="N14" s="4" t="s">
        <v>14</v>
      </c>
      <c r="O14" s="4" t="s">
        <v>15</v>
      </c>
      <c r="P14" s="4" t="s">
        <v>16</v>
      </c>
      <c r="Q14" s="4" t="s">
        <v>17</v>
      </c>
      <c r="R14" s="4" t="s">
        <v>18</v>
      </c>
      <c r="S14" s="4" t="s">
        <v>19</v>
      </c>
    </row>
    <row r="15">
      <c r="A15" s="5">
        <v>1.0</v>
      </c>
      <c r="B15" s="6">
        <v>3.0</v>
      </c>
      <c r="C15" s="7">
        <v>2.0</v>
      </c>
      <c r="D15" s="7">
        <v>2.0</v>
      </c>
      <c r="E15" s="8">
        <f t="shared" ref="E15:E18" si="4">C15/D15</f>
        <v>1</v>
      </c>
      <c r="F15" s="7">
        <v>1.0</v>
      </c>
      <c r="G15" s="7">
        <v>1.0</v>
      </c>
      <c r="H15" s="9">
        <v>1.0</v>
      </c>
      <c r="I15" s="7">
        <v>0.0</v>
      </c>
      <c r="J15" s="7">
        <v>0.0</v>
      </c>
      <c r="K15" s="9">
        <v>0.0</v>
      </c>
      <c r="L15" s="7">
        <v>1.0</v>
      </c>
      <c r="M15" s="7">
        <v>1.0</v>
      </c>
      <c r="N15" s="10">
        <f t="shared" ref="N15:N18" si="5">L15+M15</f>
        <v>2</v>
      </c>
      <c r="O15" s="7">
        <v>1.0</v>
      </c>
      <c r="P15" s="7">
        <v>1.0</v>
      </c>
      <c r="Q15" s="7">
        <v>0.0</v>
      </c>
      <c r="R15" s="7">
        <v>0.0</v>
      </c>
      <c r="S15" s="7">
        <v>1.0</v>
      </c>
    </row>
    <row r="16">
      <c r="A16" s="5">
        <v>2.0</v>
      </c>
      <c r="B16" s="6">
        <v>1.0</v>
      </c>
      <c r="C16" s="7">
        <v>1.0</v>
      </c>
      <c r="D16" s="7">
        <v>6.0</v>
      </c>
      <c r="E16" s="8">
        <f t="shared" si="4"/>
        <v>0.1666666667</v>
      </c>
      <c r="F16" s="7">
        <v>0.0</v>
      </c>
      <c r="G16" s="7">
        <v>1.0</v>
      </c>
      <c r="H16" s="9">
        <v>0.0</v>
      </c>
      <c r="I16" s="7">
        <v>0.0</v>
      </c>
      <c r="J16" s="7">
        <v>0.0</v>
      </c>
      <c r="K16" s="9">
        <v>0.0</v>
      </c>
      <c r="L16" s="7">
        <v>2.0</v>
      </c>
      <c r="M16" s="7">
        <v>2.0</v>
      </c>
      <c r="N16" s="10">
        <f t="shared" si="5"/>
        <v>4</v>
      </c>
      <c r="O16" s="7">
        <v>1.0</v>
      </c>
      <c r="P16" s="7">
        <v>0.0</v>
      </c>
      <c r="Q16" s="7">
        <v>1.0</v>
      </c>
      <c r="R16" s="7">
        <v>0.0</v>
      </c>
      <c r="S16" s="7">
        <v>0.0</v>
      </c>
    </row>
    <row r="17">
      <c r="A17" s="5">
        <v>3.0</v>
      </c>
      <c r="B17" s="6">
        <v>3.0</v>
      </c>
      <c r="C17" s="7">
        <v>3.0</v>
      </c>
      <c r="D17" s="7">
        <v>6.0</v>
      </c>
      <c r="E17" s="8">
        <f t="shared" si="4"/>
        <v>0.5</v>
      </c>
      <c r="F17" s="7">
        <v>0.0</v>
      </c>
      <c r="G17" s="7">
        <v>0.0</v>
      </c>
      <c r="H17" s="9">
        <v>0.0</v>
      </c>
      <c r="I17" s="7">
        <v>0.0</v>
      </c>
      <c r="J17" s="7">
        <v>0.0</v>
      </c>
      <c r="K17" s="9">
        <v>0.0</v>
      </c>
      <c r="L17" s="7">
        <v>5.0</v>
      </c>
      <c r="M17" s="7">
        <v>3.0</v>
      </c>
      <c r="N17" s="10">
        <f t="shared" si="5"/>
        <v>8</v>
      </c>
      <c r="O17" s="7">
        <v>1.0</v>
      </c>
      <c r="P17" s="7">
        <v>1.0</v>
      </c>
      <c r="Q17" s="7">
        <v>0.0</v>
      </c>
      <c r="R17" s="7">
        <v>2.0</v>
      </c>
      <c r="S17" s="7">
        <v>0.0</v>
      </c>
    </row>
    <row r="18">
      <c r="A18" s="5">
        <v>4.0</v>
      </c>
      <c r="B18" s="6">
        <v>2.0</v>
      </c>
      <c r="C18" s="7">
        <v>2.0</v>
      </c>
      <c r="D18" s="7">
        <v>8.0</v>
      </c>
      <c r="E18" s="8">
        <f t="shared" si="4"/>
        <v>0.25</v>
      </c>
      <c r="F18" s="7">
        <v>0.0</v>
      </c>
      <c r="G18" s="7">
        <v>0.0</v>
      </c>
      <c r="H18" s="9">
        <v>0.0</v>
      </c>
      <c r="I18" s="7">
        <v>0.0</v>
      </c>
      <c r="J18" s="7">
        <v>0.0</v>
      </c>
      <c r="K18" s="9">
        <v>0.0</v>
      </c>
      <c r="L18" s="7">
        <v>2.0</v>
      </c>
      <c r="M18" s="7">
        <v>3.0</v>
      </c>
      <c r="N18" s="10">
        <f t="shared" si="5"/>
        <v>5</v>
      </c>
      <c r="O18" s="7">
        <v>1.0</v>
      </c>
      <c r="P18" s="7">
        <v>1.0</v>
      </c>
      <c r="Q18" s="7">
        <v>0.0</v>
      </c>
      <c r="R18" s="7">
        <v>2.0</v>
      </c>
      <c r="S18" s="7">
        <v>0.0</v>
      </c>
    </row>
    <row r="19">
      <c r="A19" s="6" t="s">
        <v>20</v>
      </c>
      <c r="B19" s="11">
        <f t="shared" ref="B19:D19" si="6">SUM(B14:B18)</f>
        <v>9</v>
      </c>
      <c r="C19" s="11">
        <f t="shared" si="6"/>
        <v>8</v>
      </c>
      <c r="D19" s="11">
        <f t="shared" si="6"/>
        <v>22</v>
      </c>
      <c r="E19" s="12">
        <f>AVERAGE(E14:E18)</f>
        <v>0.4791666667</v>
      </c>
      <c r="F19" s="13">
        <v>0.0</v>
      </c>
      <c r="G19" s="13">
        <v>0.0</v>
      </c>
      <c r="H19" s="12">
        <f>AVERAGE(H14:H18)</f>
        <v>0.25</v>
      </c>
      <c r="I19" s="13">
        <v>0.0</v>
      </c>
      <c r="J19" s="13">
        <v>0.0</v>
      </c>
      <c r="K19" s="12">
        <f>AVERAGE(K14:K18)</f>
        <v>0</v>
      </c>
      <c r="L19" s="11">
        <f t="shared" ref="L19:S19" si="7">SUM(L14:L18)</f>
        <v>10</v>
      </c>
      <c r="M19" s="11">
        <f t="shared" si="7"/>
        <v>9</v>
      </c>
      <c r="N19" s="11">
        <f t="shared" si="7"/>
        <v>19</v>
      </c>
      <c r="O19" s="11">
        <f t="shared" si="7"/>
        <v>4</v>
      </c>
      <c r="P19" s="11">
        <f t="shared" si="7"/>
        <v>3</v>
      </c>
      <c r="Q19" s="11">
        <f t="shared" si="7"/>
        <v>1</v>
      </c>
      <c r="R19" s="11">
        <f t="shared" si="7"/>
        <v>4</v>
      </c>
      <c r="S19" s="11">
        <f t="shared" si="7"/>
        <v>1</v>
      </c>
    </row>
    <row r="21">
      <c r="U21" s="17" t="s">
        <v>22</v>
      </c>
      <c r="V21" s="18" t="s">
        <v>29</v>
      </c>
    </row>
    <row r="22">
      <c r="U22" s="17" t="s">
        <v>23</v>
      </c>
      <c r="V22" s="18" t="s">
        <v>0</v>
      </c>
    </row>
    <row r="23">
      <c r="U23" s="17" t="s">
        <v>24</v>
      </c>
      <c r="V23" s="18" t="s">
        <v>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63"/>
    <col customWidth="1" min="6" max="6" width="5.5"/>
    <col customWidth="1" min="7" max="7" width="4.13"/>
    <col customWidth="1" min="8" max="8" width="7.75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  <col customWidth="1" min="22" max="22" width="17.5"/>
  </cols>
  <sheetData>
    <row r="4">
      <c r="A4" s="1" t="s">
        <v>30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4.0</v>
      </c>
      <c r="C6" s="7">
        <v>4.0</v>
      </c>
      <c r="D6" s="7">
        <v>8.0</v>
      </c>
      <c r="E6" s="8">
        <f t="shared" ref="E6:E8" si="1">C6/D6</f>
        <v>0.5</v>
      </c>
      <c r="F6" s="7">
        <v>0.0</v>
      </c>
      <c r="G6" s="7">
        <v>0.0</v>
      </c>
      <c r="H6" s="7">
        <v>0.0</v>
      </c>
      <c r="I6" s="7">
        <v>0.0</v>
      </c>
      <c r="J6" s="7">
        <v>1.0</v>
      </c>
      <c r="K6" s="9">
        <v>0.0</v>
      </c>
      <c r="L6" s="7">
        <v>2.0</v>
      </c>
      <c r="M6" s="7">
        <v>3.0</v>
      </c>
      <c r="N6" s="10">
        <f t="shared" ref="N6:N8" si="2">L6+M6</f>
        <v>5</v>
      </c>
      <c r="O6" s="7">
        <v>1.0</v>
      </c>
      <c r="P6" s="7">
        <v>1.0</v>
      </c>
      <c r="Q6" s="7">
        <v>0.0</v>
      </c>
      <c r="R6" s="7">
        <v>1.0</v>
      </c>
      <c r="S6" s="7">
        <v>0.0</v>
      </c>
    </row>
    <row r="7">
      <c r="A7" s="5">
        <v>2.0</v>
      </c>
      <c r="B7" s="6">
        <v>3.0</v>
      </c>
      <c r="C7" s="7">
        <v>3.0</v>
      </c>
      <c r="D7" s="7">
        <v>6.0</v>
      </c>
      <c r="E7" s="8">
        <f t="shared" si="1"/>
        <v>0.5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9">
        <v>0.0</v>
      </c>
      <c r="L7" s="7">
        <v>0.0</v>
      </c>
      <c r="M7" s="7">
        <v>4.0</v>
      </c>
      <c r="N7" s="10">
        <f t="shared" si="2"/>
        <v>4</v>
      </c>
      <c r="O7" s="7">
        <v>1.0</v>
      </c>
      <c r="P7" s="7">
        <v>0.0</v>
      </c>
      <c r="Q7" s="7">
        <v>0.0</v>
      </c>
      <c r="R7" s="7">
        <v>1.0</v>
      </c>
      <c r="S7" s="7">
        <v>0.0</v>
      </c>
    </row>
    <row r="8">
      <c r="A8" s="5">
        <v>3.0</v>
      </c>
      <c r="B8" s="6">
        <v>0.0</v>
      </c>
      <c r="C8" s="7">
        <v>0.0</v>
      </c>
      <c r="D8" s="7">
        <v>2.0</v>
      </c>
      <c r="E8" s="8">
        <f t="shared" si="1"/>
        <v>0</v>
      </c>
      <c r="F8" s="7">
        <v>0.0</v>
      </c>
      <c r="G8" s="7">
        <v>0.0</v>
      </c>
      <c r="H8" s="7">
        <v>0.0</v>
      </c>
      <c r="I8" s="7">
        <v>0.0</v>
      </c>
      <c r="J8" s="7">
        <v>1.0</v>
      </c>
      <c r="K8" s="9">
        <v>0.0</v>
      </c>
      <c r="L8" s="7">
        <v>1.0</v>
      </c>
      <c r="M8" s="7">
        <v>1.0</v>
      </c>
      <c r="N8" s="10">
        <f t="shared" si="2"/>
        <v>2</v>
      </c>
      <c r="O8" s="7">
        <v>0.0</v>
      </c>
      <c r="P8" s="7">
        <v>1.0</v>
      </c>
      <c r="Q8" s="7">
        <v>0.0</v>
      </c>
      <c r="R8" s="7">
        <v>1.0</v>
      </c>
      <c r="S8" s="7">
        <v>0.0</v>
      </c>
    </row>
    <row r="9">
      <c r="A9" s="6" t="s">
        <v>20</v>
      </c>
      <c r="B9" s="11">
        <f t="shared" ref="B9:D9" si="3">SUM(B4:B8)</f>
        <v>7</v>
      </c>
      <c r="C9" s="11">
        <f t="shared" si="3"/>
        <v>7</v>
      </c>
      <c r="D9" s="11">
        <f t="shared" si="3"/>
        <v>16</v>
      </c>
      <c r="E9" s="12">
        <f>AVERAGE(E4:E8)</f>
        <v>0.3333333333</v>
      </c>
      <c r="F9" s="13">
        <v>0.0</v>
      </c>
      <c r="G9" s="13">
        <v>0.0</v>
      </c>
      <c r="H9" s="12">
        <f>AVERAGE(H4:H8)</f>
        <v>0</v>
      </c>
      <c r="I9" s="13">
        <v>0.0</v>
      </c>
      <c r="J9" s="13">
        <v>0.0</v>
      </c>
      <c r="K9" s="12">
        <f>AVERAGE(K4:K8)</f>
        <v>0</v>
      </c>
      <c r="L9" s="11">
        <f t="shared" ref="L9:S9" si="4">SUM(L4:L8)</f>
        <v>3</v>
      </c>
      <c r="M9" s="11">
        <f t="shared" si="4"/>
        <v>8</v>
      </c>
      <c r="N9" s="11">
        <f t="shared" si="4"/>
        <v>11</v>
      </c>
      <c r="O9" s="11">
        <f t="shared" si="4"/>
        <v>2</v>
      </c>
      <c r="P9" s="11">
        <f t="shared" si="4"/>
        <v>2</v>
      </c>
      <c r="Q9" s="11">
        <f t="shared" si="4"/>
        <v>0</v>
      </c>
      <c r="R9" s="11">
        <f t="shared" si="4"/>
        <v>3</v>
      </c>
      <c r="S9" s="11">
        <f t="shared" si="4"/>
        <v>0</v>
      </c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4"/>
      <c r="P10" s="2"/>
      <c r="Q10" s="2"/>
      <c r="R10" s="2"/>
      <c r="S10" s="2"/>
    </row>
    <row r="11">
      <c r="A11" s="15" t="s">
        <v>21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6" t="s">
        <v>1</v>
      </c>
      <c r="B12" s="4" t="s">
        <v>2</v>
      </c>
      <c r="C12" s="4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  <c r="J12" s="4" t="s">
        <v>10</v>
      </c>
      <c r="K12" s="4" t="s">
        <v>11</v>
      </c>
      <c r="L12" s="4" t="s">
        <v>12</v>
      </c>
      <c r="M12" s="4" t="s">
        <v>13</v>
      </c>
      <c r="N12" s="4" t="s">
        <v>14</v>
      </c>
      <c r="O12" s="4" t="s">
        <v>15</v>
      </c>
      <c r="P12" s="4" t="s">
        <v>16</v>
      </c>
      <c r="Q12" s="4" t="s">
        <v>17</v>
      </c>
      <c r="R12" s="4" t="s">
        <v>18</v>
      </c>
      <c r="S12" s="4" t="s">
        <v>19</v>
      </c>
    </row>
    <row r="13">
      <c r="A13" s="5">
        <v>2.0</v>
      </c>
      <c r="B13" s="6">
        <v>2.0</v>
      </c>
      <c r="C13" s="7">
        <v>1.0</v>
      </c>
      <c r="D13" s="7">
        <v>4.0</v>
      </c>
      <c r="E13" s="8">
        <f t="shared" ref="E13:E15" si="5">C13/D13</f>
        <v>0.25</v>
      </c>
      <c r="F13" s="7">
        <v>1.0</v>
      </c>
      <c r="G13" s="7">
        <v>2.0</v>
      </c>
      <c r="H13" s="8">
        <f>F13/G13</f>
        <v>0.5</v>
      </c>
      <c r="I13" s="7">
        <v>0.0</v>
      </c>
      <c r="J13" s="7">
        <v>0.0</v>
      </c>
      <c r="K13" s="9">
        <v>0.0</v>
      </c>
      <c r="L13" s="7">
        <v>0.0</v>
      </c>
      <c r="M13" s="7">
        <v>0.0</v>
      </c>
      <c r="N13" s="10">
        <f t="shared" ref="N13:N15" si="6">L13+M13</f>
        <v>0</v>
      </c>
      <c r="O13" s="7">
        <v>0.0</v>
      </c>
      <c r="P13" s="7">
        <v>0.0</v>
      </c>
      <c r="Q13" s="7">
        <v>0.0</v>
      </c>
      <c r="R13" s="7">
        <v>0.0</v>
      </c>
      <c r="S13" s="7">
        <v>1.0</v>
      </c>
    </row>
    <row r="14">
      <c r="A14" s="5">
        <v>5.0</v>
      </c>
      <c r="B14" s="6">
        <v>1.0</v>
      </c>
      <c r="C14" s="7">
        <v>1.0</v>
      </c>
      <c r="D14" s="7">
        <v>3.0</v>
      </c>
      <c r="E14" s="8">
        <f t="shared" si="5"/>
        <v>0.3333333333</v>
      </c>
      <c r="F14" s="7">
        <v>0.0</v>
      </c>
      <c r="G14" s="7">
        <v>0.0</v>
      </c>
      <c r="H14" s="9">
        <v>0.0</v>
      </c>
      <c r="I14" s="7">
        <v>0.0</v>
      </c>
      <c r="J14" s="7">
        <v>0.0</v>
      </c>
      <c r="K14" s="9">
        <v>0.0</v>
      </c>
      <c r="L14" s="7">
        <v>2.0</v>
      </c>
      <c r="M14" s="7">
        <v>5.0</v>
      </c>
      <c r="N14" s="10">
        <f t="shared" si="6"/>
        <v>7</v>
      </c>
      <c r="O14" s="7">
        <v>1.0</v>
      </c>
      <c r="P14" s="7">
        <v>0.0</v>
      </c>
      <c r="Q14" s="7">
        <v>0.0</v>
      </c>
      <c r="R14" s="7">
        <v>3.0</v>
      </c>
      <c r="S14" s="7">
        <v>1.0</v>
      </c>
    </row>
    <row r="15">
      <c r="A15" s="5">
        <v>4.0</v>
      </c>
      <c r="B15" s="6">
        <v>1.0</v>
      </c>
      <c r="C15" s="7">
        <v>1.0</v>
      </c>
      <c r="D15" s="7">
        <v>11.0</v>
      </c>
      <c r="E15" s="8">
        <f t="shared" si="5"/>
        <v>0.09090909091</v>
      </c>
      <c r="F15" s="7">
        <v>0.0</v>
      </c>
      <c r="G15" s="7">
        <v>3.0</v>
      </c>
      <c r="H15" s="9">
        <v>0.0</v>
      </c>
      <c r="I15" s="7">
        <v>0.0</v>
      </c>
      <c r="J15" s="7">
        <v>0.0</v>
      </c>
      <c r="K15" s="9">
        <v>0.0</v>
      </c>
      <c r="L15" s="7">
        <v>1.0</v>
      </c>
      <c r="M15" s="7">
        <v>2.0</v>
      </c>
      <c r="N15" s="10">
        <f t="shared" si="6"/>
        <v>3</v>
      </c>
      <c r="O15" s="7">
        <v>1.0</v>
      </c>
      <c r="P15" s="7">
        <v>0.0</v>
      </c>
      <c r="Q15" s="7">
        <v>0.0</v>
      </c>
      <c r="R15" s="7">
        <v>0.0</v>
      </c>
      <c r="S15" s="7">
        <v>0.0</v>
      </c>
    </row>
    <row r="16">
      <c r="A16" s="6" t="s">
        <v>20</v>
      </c>
      <c r="B16" s="11">
        <f t="shared" ref="B16:D16" si="7">SUM(B11:B15)</f>
        <v>4</v>
      </c>
      <c r="C16" s="11">
        <f t="shared" si="7"/>
        <v>3</v>
      </c>
      <c r="D16" s="11">
        <f t="shared" si="7"/>
        <v>18</v>
      </c>
      <c r="E16" s="12">
        <f>AVERAGE(E11:E15)</f>
        <v>0.2247474747</v>
      </c>
      <c r="F16" s="13">
        <v>0.0</v>
      </c>
      <c r="G16" s="13">
        <v>0.0</v>
      </c>
      <c r="H16" s="12">
        <f>AVERAGE(H11:H15)</f>
        <v>0.1666666667</v>
      </c>
      <c r="I16" s="13">
        <v>0.0</v>
      </c>
      <c r="J16" s="13">
        <v>0.0</v>
      </c>
      <c r="K16" s="12">
        <f>AVERAGE(K11:K15)</f>
        <v>0</v>
      </c>
      <c r="L16" s="11">
        <f t="shared" ref="L16:S16" si="8">SUM(L11:L15)</f>
        <v>3</v>
      </c>
      <c r="M16" s="11">
        <f t="shared" si="8"/>
        <v>7</v>
      </c>
      <c r="N16" s="11">
        <f t="shared" si="8"/>
        <v>10</v>
      </c>
      <c r="O16" s="11">
        <f t="shared" si="8"/>
        <v>2</v>
      </c>
      <c r="P16" s="11">
        <f t="shared" si="8"/>
        <v>0</v>
      </c>
      <c r="Q16" s="11">
        <f t="shared" si="8"/>
        <v>0</v>
      </c>
      <c r="R16" s="11">
        <f t="shared" si="8"/>
        <v>3</v>
      </c>
      <c r="S16" s="11">
        <f t="shared" si="8"/>
        <v>2</v>
      </c>
    </row>
    <row r="18">
      <c r="U18" s="17" t="s">
        <v>22</v>
      </c>
      <c r="V18" s="18" t="s">
        <v>30</v>
      </c>
    </row>
    <row r="19">
      <c r="U19" s="17" t="s">
        <v>23</v>
      </c>
      <c r="V19" s="18" t="s">
        <v>21</v>
      </c>
    </row>
    <row r="20">
      <c r="U20" s="17" t="s">
        <v>24</v>
      </c>
      <c r="V20" s="18" t="s">
        <v>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63"/>
    <col customWidth="1" min="6" max="6" width="5.5"/>
    <col customWidth="1" min="7" max="7" width="4.13"/>
    <col customWidth="1" min="8" max="8" width="7.75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4">
      <c r="A4" s="1" t="s">
        <v>31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10.0</v>
      </c>
      <c r="C6" s="7">
        <v>7.0</v>
      </c>
      <c r="D6" s="7">
        <v>16.0</v>
      </c>
      <c r="E6" s="8">
        <f t="shared" ref="E6:E8" si="1">C6/D6</f>
        <v>0.4375</v>
      </c>
      <c r="F6" s="7">
        <v>3.0</v>
      </c>
      <c r="G6" s="7">
        <v>8.0</v>
      </c>
      <c r="H6" s="8">
        <f>F6/G6</f>
        <v>0.375</v>
      </c>
      <c r="I6" s="7">
        <v>0.0</v>
      </c>
      <c r="J6" s="7">
        <v>0.0</v>
      </c>
      <c r="K6" s="9">
        <v>0.0</v>
      </c>
      <c r="L6" s="7">
        <v>1.0</v>
      </c>
      <c r="M6" s="7">
        <v>4.0</v>
      </c>
      <c r="N6" s="10">
        <f t="shared" ref="N6:N8" si="2">L6+M6</f>
        <v>5</v>
      </c>
      <c r="O6" s="7">
        <v>1.0</v>
      </c>
      <c r="P6" s="7">
        <v>3.0</v>
      </c>
      <c r="Q6" s="7">
        <v>3.0</v>
      </c>
      <c r="R6" s="7">
        <v>0.0</v>
      </c>
      <c r="S6" s="7">
        <v>0.0</v>
      </c>
    </row>
    <row r="7">
      <c r="A7" s="5">
        <v>2.0</v>
      </c>
      <c r="B7" s="6">
        <v>1.0</v>
      </c>
      <c r="C7" s="7">
        <v>1.0</v>
      </c>
      <c r="D7" s="7">
        <v>4.0</v>
      </c>
      <c r="E7" s="8">
        <f t="shared" si="1"/>
        <v>0.25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9">
        <v>0.0</v>
      </c>
      <c r="L7" s="7">
        <v>1.0</v>
      </c>
      <c r="M7" s="7">
        <v>1.0</v>
      </c>
      <c r="N7" s="10">
        <f t="shared" si="2"/>
        <v>2</v>
      </c>
      <c r="O7" s="7">
        <v>1.0</v>
      </c>
      <c r="P7" s="7">
        <v>3.0</v>
      </c>
      <c r="Q7" s="7">
        <v>1.0</v>
      </c>
      <c r="R7" s="7">
        <v>2.0</v>
      </c>
      <c r="S7" s="7">
        <v>0.0</v>
      </c>
    </row>
    <row r="8">
      <c r="A8" s="5">
        <v>4.0</v>
      </c>
      <c r="B8" s="6">
        <v>0.0</v>
      </c>
      <c r="C8" s="7">
        <v>0.0</v>
      </c>
      <c r="D8" s="7">
        <v>2.0</v>
      </c>
      <c r="E8" s="8">
        <f t="shared" si="1"/>
        <v>0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9">
        <v>0.0</v>
      </c>
      <c r="L8" s="7">
        <v>4.0</v>
      </c>
      <c r="M8" s="7">
        <v>3.0</v>
      </c>
      <c r="N8" s="10">
        <f t="shared" si="2"/>
        <v>7</v>
      </c>
      <c r="O8" s="7">
        <v>1.0</v>
      </c>
      <c r="P8" s="7">
        <v>1.0</v>
      </c>
      <c r="Q8" s="7">
        <v>0.0</v>
      </c>
      <c r="R8" s="7">
        <v>0.0</v>
      </c>
      <c r="S8" s="7">
        <v>1.0</v>
      </c>
    </row>
    <row r="9">
      <c r="A9" s="6" t="s">
        <v>20</v>
      </c>
      <c r="B9" s="11">
        <f t="shared" ref="B9:D9" si="3">SUM(B4:B8)</f>
        <v>11</v>
      </c>
      <c r="C9" s="11">
        <f t="shared" si="3"/>
        <v>8</v>
      </c>
      <c r="D9" s="11">
        <f t="shared" si="3"/>
        <v>22</v>
      </c>
      <c r="E9" s="12">
        <f>AVERAGE(E4:E8)</f>
        <v>0.2291666667</v>
      </c>
      <c r="F9" s="13">
        <v>0.0</v>
      </c>
      <c r="G9" s="13">
        <v>0.0</v>
      </c>
      <c r="H9" s="12">
        <f>AVERAGE(H4:H8)</f>
        <v>0.125</v>
      </c>
      <c r="I9" s="13">
        <v>0.0</v>
      </c>
      <c r="J9" s="13">
        <v>0.0</v>
      </c>
      <c r="K9" s="12">
        <f>AVERAGE(K4:K8)</f>
        <v>0</v>
      </c>
      <c r="L9" s="11">
        <f t="shared" ref="L9:S9" si="4">SUM(L4:L8)</f>
        <v>6</v>
      </c>
      <c r="M9" s="11">
        <f t="shared" si="4"/>
        <v>8</v>
      </c>
      <c r="N9" s="11">
        <f t="shared" si="4"/>
        <v>14</v>
      </c>
      <c r="O9" s="11">
        <f t="shared" si="4"/>
        <v>3</v>
      </c>
      <c r="P9" s="11">
        <f t="shared" si="4"/>
        <v>7</v>
      </c>
      <c r="Q9" s="11">
        <f t="shared" si="4"/>
        <v>4</v>
      </c>
      <c r="R9" s="11">
        <f t="shared" si="4"/>
        <v>2</v>
      </c>
      <c r="S9" s="11">
        <f t="shared" si="4"/>
        <v>1</v>
      </c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4"/>
      <c r="P10" s="2"/>
      <c r="Q10" s="2"/>
      <c r="R10" s="2"/>
      <c r="S10" s="2"/>
    </row>
    <row r="11">
      <c r="A11" s="15" t="s">
        <v>29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6" t="s">
        <v>1</v>
      </c>
      <c r="B12" s="4" t="s">
        <v>2</v>
      </c>
      <c r="C12" s="4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  <c r="J12" s="4" t="s">
        <v>10</v>
      </c>
      <c r="K12" s="4" t="s">
        <v>11</v>
      </c>
      <c r="L12" s="4" t="s">
        <v>12</v>
      </c>
      <c r="M12" s="4" t="s">
        <v>13</v>
      </c>
      <c r="N12" s="4" t="s">
        <v>14</v>
      </c>
      <c r="O12" s="4" t="s">
        <v>15</v>
      </c>
      <c r="P12" s="4" t="s">
        <v>16</v>
      </c>
      <c r="Q12" s="4" t="s">
        <v>17</v>
      </c>
      <c r="R12" s="4" t="s">
        <v>18</v>
      </c>
      <c r="S12" s="4" t="s">
        <v>19</v>
      </c>
    </row>
    <row r="13">
      <c r="A13" s="5">
        <v>1.0</v>
      </c>
      <c r="B13" s="6">
        <v>0.0</v>
      </c>
      <c r="C13" s="7">
        <v>0.0</v>
      </c>
      <c r="D13" s="7">
        <v>7.0</v>
      </c>
      <c r="E13" s="8">
        <f t="shared" ref="E13:E15" si="5">C13/D13</f>
        <v>0</v>
      </c>
      <c r="F13" s="7">
        <v>0.0</v>
      </c>
      <c r="G13" s="7">
        <v>3.0</v>
      </c>
      <c r="H13" s="9">
        <v>0.0</v>
      </c>
      <c r="I13" s="7">
        <v>0.0</v>
      </c>
      <c r="J13" s="7">
        <v>0.0</v>
      </c>
      <c r="K13" s="9">
        <v>0.0</v>
      </c>
      <c r="L13" s="7">
        <v>0.0</v>
      </c>
      <c r="M13" s="7">
        <v>2.0</v>
      </c>
      <c r="N13" s="10">
        <f t="shared" ref="N13:N16" si="6">L13+M13</f>
        <v>2</v>
      </c>
      <c r="O13" s="7">
        <v>0.0</v>
      </c>
      <c r="P13" s="7">
        <v>0.0</v>
      </c>
      <c r="Q13" s="7">
        <v>0.0</v>
      </c>
      <c r="R13" s="7">
        <v>3.0</v>
      </c>
      <c r="S13" s="7">
        <v>0.0</v>
      </c>
    </row>
    <row r="14">
      <c r="A14" s="5">
        <v>2.0</v>
      </c>
      <c r="B14" s="6">
        <v>2.0</v>
      </c>
      <c r="C14" s="7">
        <v>2.0</v>
      </c>
      <c r="D14" s="7">
        <v>4.0</v>
      </c>
      <c r="E14" s="8">
        <f t="shared" si="5"/>
        <v>0.5</v>
      </c>
      <c r="F14" s="7">
        <v>0.0</v>
      </c>
      <c r="G14" s="7">
        <v>1.0</v>
      </c>
      <c r="H14" s="9">
        <v>0.0</v>
      </c>
      <c r="I14" s="7">
        <v>0.0</v>
      </c>
      <c r="J14" s="7">
        <v>0.0</v>
      </c>
      <c r="K14" s="9">
        <v>0.0</v>
      </c>
      <c r="L14" s="7">
        <v>0.0</v>
      </c>
      <c r="M14" s="7">
        <v>2.0</v>
      </c>
      <c r="N14" s="10">
        <f t="shared" si="6"/>
        <v>2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</row>
    <row r="15">
      <c r="A15" s="5">
        <v>3.0</v>
      </c>
      <c r="B15" s="6">
        <v>1.0</v>
      </c>
      <c r="C15" s="7">
        <v>0.0</v>
      </c>
      <c r="D15" s="7">
        <v>3.0</v>
      </c>
      <c r="E15" s="8">
        <f t="shared" si="5"/>
        <v>0</v>
      </c>
      <c r="F15" s="7">
        <v>0.0</v>
      </c>
      <c r="G15" s="7">
        <v>0.0</v>
      </c>
      <c r="H15" s="9">
        <v>0.0</v>
      </c>
      <c r="I15" s="7">
        <v>0.0</v>
      </c>
      <c r="J15" s="7">
        <v>0.0</v>
      </c>
      <c r="K15" s="9">
        <v>0.0</v>
      </c>
      <c r="L15" s="7">
        <v>2.0</v>
      </c>
      <c r="M15" s="7">
        <v>0.0</v>
      </c>
      <c r="N15" s="10">
        <f t="shared" si="6"/>
        <v>2</v>
      </c>
      <c r="O15" s="7">
        <v>1.0</v>
      </c>
      <c r="P15" s="7">
        <v>0.0</v>
      </c>
      <c r="Q15" s="7">
        <v>0.0</v>
      </c>
      <c r="R15" s="7">
        <v>4.0</v>
      </c>
      <c r="S15" s="7">
        <v>1.0</v>
      </c>
    </row>
    <row r="16">
      <c r="A16" s="19">
        <v>4.0</v>
      </c>
      <c r="B16" s="20">
        <v>0.0</v>
      </c>
      <c r="C16" s="21">
        <v>0.0</v>
      </c>
      <c r="D16" s="21">
        <v>5.0</v>
      </c>
      <c r="E16" s="22">
        <v>0.0</v>
      </c>
      <c r="F16" s="21">
        <v>0.0</v>
      </c>
      <c r="G16" s="21">
        <v>0.0</v>
      </c>
      <c r="H16" s="22">
        <v>0.0</v>
      </c>
      <c r="I16" s="21">
        <v>0.0</v>
      </c>
      <c r="J16" s="21">
        <v>0.0</v>
      </c>
      <c r="K16" s="22">
        <v>0.0</v>
      </c>
      <c r="L16" s="21">
        <v>3.0</v>
      </c>
      <c r="M16" s="21">
        <v>3.0</v>
      </c>
      <c r="N16" s="10">
        <f t="shared" si="6"/>
        <v>6</v>
      </c>
      <c r="O16" s="21">
        <v>1.0</v>
      </c>
      <c r="P16" s="21">
        <v>2.0</v>
      </c>
      <c r="Q16" s="21">
        <v>0.0</v>
      </c>
      <c r="R16" s="21">
        <v>2.0</v>
      </c>
      <c r="S16" s="21">
        <v>0.0</v>
      </c>
    </row>
    <row r="17">
      <c r="A17" s="6" t="s">
        <v>20</v>
      </c>
      <c r="B17" s="11">
        <f t="shared" ref="B17:D17" si="7">SUM(B12:B16)</f>
        <v>3</v>
      </c>
      <c r="C17" s="11">
        <f t="shared" si="7"/>
        <v>2</v>
      </c>
      <c r="D17" s="11">
        <f t="shared" si="7"/>
        <v>19</v>
      </c>
      <c r="E17" s="12">
        <f>AVERAGE(E12:E16)</f>
        <v>0.125</v>
      </c>
      <c r="F17" s="13">
        <v>0.0</v>
      </c>
      <c r="G17" s="13">
        <v>0.0</v>
      </c>
      <c r="H17" s="12">
        <f>AVERAGE(H12:H16)</f>
        <v>0</v>
      </c>
      <c r="I17" s="13">
        <v>0.0</v>
      </c>
      <c r="J17" s="13">
        <v>0.0</v>
      </c>
      <c r="K17" s="12">
        <f>AVERAGE(K12:K16)</f>
        <v>0</v>
      </c>
      <c r="L17" s="11">
        <f t="shared" ref="L17:S17" si="8">SUM(L12:L16)</f>
        <v>5</v>
      </c>
      <c r="M17" s="11">
        <f t="shared" si="8"/>
        <v>7</v>
      </c>
      <c r="N17" s="11">
        <f t="shared" si="8"/>
        <v>12</v>
      </c>
      <c r="O17" s="11">
        <f t="shared" si="8"/>
        <v>2</v>
      </c>
      <c r="P17" s="11">
        <f t="shared" si="8"/>
        <v>2</v>
      </c>
      <c r="Q17" s="11">
        <f t="shared" si="8"/>
        <v>0</v>
      </c>
      <c r="R17" s="11">
        <f t="shared" si="8"/>
        <v>9</v>
      </c>
      <c r="S17" s="11">
        <f t="shared" si="8"/>
        <v>1</v>
      </c>
    </row>
    <row r="19">
      <c r="U19" s="17" t="s">
        <v>22</v>
      </c>
      <c r="V19" s="18" t="s">
        <v>31</v>
      </c>
    </row>
    <row r="20">
      <c r="U20" s="17" t="s">
        <v>23</v>
      </c>
      <c r="V20" s="18" t="s">
        <v>29</v>
      </c>
    </row>
    <row r="21">
      <c r="U21" s="17" t="s">
        <v>24</v>
      </c>
      <c r="V21" s="18" t="s">
        <v>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63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  <col customWidth="1" min="22" max="22" width="17.5"/>
  </cols>
  <sheetData>
    <row r="4">
      <c r="A4" s="1" t="s">
        <v>31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9.0</v>
      </c>
      <c r="C6" s="7">
        <v>7.0</v>
      </c>
      <c r="D6" s="7">
        <v>21.0</v>
      </c>
      <c r="E6" s="8">
        <f t="shared" ref="E6:E8" si="1">C6/D6</f>
        <v>0.3333333333</v>
      </c>
      <c r="F6" s="7">
        <v>2.0</v>
      </c>
      <c r="G6" s="7">
        <v>9.0</v>
      </c>
      <c r="H6" s="8">
        <f>F6/G6</f>
        <v>0.2222222222</v>
      </c>
      <c r="I6" s="7">
        <v>0.0</v>
      </c>
      <c r="J6" s="7">
        <v>0.0</v>
      </c>
      <c r="K6" s="9">
        <v>0.0</v>
      </c>
      <c r="L6" s="7">
        <v>1.0</v>
      </c>
      <c r="M6" s="7">
        <v>6.0</v>
      </c>
      <c r="N6" s="10">
        <f t="shared" ref="N6:N8" si="2">L6+M6</f>
        <v>7</v>
      </c>
      <c r="O6" s="7">
        <v>1.0</v>
      </c>
      <c r="P6" s="7">
        <v>2.0</v>
      </c>
      <c r="Q6" s="7">
        <v>0.0</v>
      </c>
      <c r="R6" s="7">
        <v>0.0</v>
      </c>
      <c r="S6" s="7">
        <v>0.0</v>
      </c>
    </row>
    <row r="7">
      <c r="A7" s="5">
        <v>2.0</v>
      </c>
      <c r="B7" s="6">
        <v>2.0</v>
      </c>
      <c r="C7" s="7">
        <v>2.0</v>
      </c>
      <c r="D7" s="7">
        <v>3.0</v>
      </c>
      <c r="E7" s="8">
        <f t="shared" si="1"/>
        <v>0.6666666667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9">
        <v>0.0</v>
      </c>
      <c r="L7" s="7">
        <v>3.0</v>
      </c>
      <c r="M7" s="7">
        <v>3.0</v>
      </c>
      <c r="N7" s="10">
        <f t="shared" si="2"/>
        <v>6</v>
      </c>
      <c r="O7" s="7">
        <v>1.0</v>
      </c>
      <c r="P7" s="7">
        <v>3.0</v>
      </c>
      <c r="Q7" s="7">
        <v>1.0</v>
      </c>
      <c r="R7" s="7">
        <v>0.0</v>
      </c>
      <c r="S7" s="7">
        <v>0.0</v>
      </c>
    </row>
    <row r="8">
      <c r="A8" s="5">
        <v>4.0</v>
      </c>
      <c r="B8" s="6">
        <v>2.0</v>
      </c>
      <c r="C8" s="7">
        <v>2.0</v>
      </c>
      <c r="D8" s="7">
        <v>4.0</v>
      </c>
      <c r="E8" s="8">
        <f t="shared" si="1"/>
        <v>0.5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9">
        <v>0.0</v>
      </c>
      <c r="L8" s="7">
        <v>4.0</v>
      </c>
      <c r="M8" s="7">
        <v>1.0</v>
      </c>
      <c r="N8" s="10">
        <f t="shared" si="2"/>
        <v>5</v>
      </c>
      <c r="O8" s="7">
        <v>1.0</v>
      </c>
      <c r="P8" s="7">
        <v>1.0</v>
      </c>
      <c r="Q8" s="7">
        <v>1.0</v>
      </c>
      <c r="R8" s="7">
        <v>1.0</v>
      </c>
      <c r="S8" s="7">
        <v>0.0</v>
      </c>
    </row>
    <row r="9">
      <c r="A9" s="6" t="s">
        <v>20</v>
      </c>
      <c r="B9" s="11">
        <f t="shared" ref="B9:D9" si="3">SUM(B4:B8)</f>
        <v>13</v>
      </c>
      <c r="C9" s="11">
        <f t="shared" si="3"/>
        <v>11</v>
      </c>
      <c r="D9" s="11">
        <f t="shared" si="3"/>
        <v>28</v>
      </c>
      <c r="E9" s="12">
        <f>AVERAGE(E4:E8)</f>
        <v>0.5</v>
      </c>
      <c r="F9" s="13">
        <v>0.0</v>
      </c>
      <c r="G9" s="13">
        <v>0.0</v>
      </c>
      <c r="H9" s="12">
        <f>AVERAGE(H4:H8)</f>
        <v>0.07407407407</v>
      </c>
      <c r="I9" s="13">
        <v>0.0</v>
      </c>
      <c r="J9" s="13">
        <v>0.0</v>
      </c>
      <c r="K9" s="12">
        <f>AVERAGE(K4:K8)</f>
        <v>0</v>
      </c>
      <c r="L9" s="11">
        <f t="shared" ref="L9:S9" si="4">SUM(L4:L8)</f>
        <v>8</v>
      </c>
      <c r="M9" s="11">
        <f t="shared" si="4"/>
        <v>10</v>
      </c>
      <c r="N9" s="11">
        <f t="shared" si="4"/>
        <v>18</v>
      </c>
      <c r="O9" s="11">
        <f t="shared" si="4"/>
        <v>3</v>
      </c>
      <c r="P9" s="11">
        <f t="shared" si="4"/>
        <v>6</v>
      </c>
      <c r="Q9" s="11">
        <f t="shared" si="4"/>
        <v>2</v>
      </c>
      <c r="R9" s="11">
        <f t="shared" si="4"/>
        <v>1</v>
      </c>
      <c r="S9" s="11">
        <f t="shared" si="4"/>
        <v>0</v>
      </c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4"/>
      <c r="P10" s="2"/>
      <c r="Q10" s="2"/>
      <c r="R10" s="2"/>
      <c r="S10" s="2"/>
    </row>
    <row r="11">
      <c r="A11" s="15" t="s">
        <v>21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6" t="s">
        <v>1</v>
      </c>
      <c r="B12" s="4" t="s">
        <v>2</v>
      </c>
      <c r="C12" s="4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  <c r="J12" s="4" t="s">
        <v>10</v>
      </c>
      <c r="K12" s="4" t="s">
        <v>11</v>
      </c>
      <c r="L12" s="4" t="s">
        <v>12</v>
      </c>
      <c r="M12" s="4" t="s">
        <v>13</v>
      </c>
      <c r="N12" s="4" t="s">
        <v>14</v>
      </c>
      <c r="O12" s="4" t="s">
        <v>15</v>
      </c>
      <c r="P12" s="4" t="s">
        <v>16</v>
      </c>
      <c r="Q12" s="4" t="s">
        <v>17</v>
      </c>
      <c r="R12" s="4" t="s">
        <v>18</v>
      </c>
      <c r="S12" s="4" t="s">
        <v>19</v>
      </c>
    </row>
    <row r="13">
      <c r="A13" s="5">
        <v>2.0</v>
      </c>
      <c r="B13" s="6">
        <v>0.0</v>
      </c>
      <c r="C13" s="7">
        <v>0.0</v>
      </c>
      <c r="D13" s="7">
        <v>5.0</v>
      </c>
      <c r="E13" s="8">
        <f t="shared" ref="E13:E15" si="5">C13/D13</f>
        <v>0</v>
      </c>
      <c r="F13" s="7">
        <v>0.0</v>
      </c>
      <c r="G13" s="7">
        <v>4.0</v>
      </c>
      <c r="H13" s="9">
        <v>0.0</v>
      </c>
      <c r="I13" s="7">
        <v>0.0</v>
      </c>
      <c r="J13" s="7">
        <v>0.0</v>
      </c>
      <c r="K13" s="9">
        <v>0.0</v>
      </c>
      <c r="L13" s="7">
        <v>0.0</v>
      </c>
      <c r="M13" s="7">
        <v>1.0</v>
      </c>
      <c r="N13" s="10">
        <f t="shared" ref="N13:N15" si="6">L13+M13</f>
        <v>1</v>
      </c>
      <c r="O13" s="7">
        <v>0.0</v>
      </c>
      <c r="P13" s="7">
        <v>0.0</v>
      </c>
      <c r="Q13" s="7">
        <v>0.0</v>
      </c>
      <c r="R13" s="7">
        <v>3.0</v>
      </c>
      <c r="S13" s="7">
        <v>0.0</v>
      </c>
    </row>
    <row r="14">
      <c r="A14" s="5">
        <v>4.0</v>
      </c>
      <c r="B14" s="6">
        <v>1.0</v>
      </c>
      <c r="C14" s="7">
        <v>1.0</v>
      </c>
      <c r="D14" s="7">
        <v>14.0</v>
      </c>
      <c r="E14" s="8">
        <f t="shared" si="5"/>
        <v>0.07142857143</v>
      </c>
      <c r="F14" s="7">
        <v>0.0</v>
      </c>
      <c r="G14" s="7">
        <v>4.0</v>
      </c>
      <c r="H14" s="9">
        <v>0.0</v>
      </c>
      <c r="I14" s="7">
        <v>0.0</v>
      </c>
      <c r="J14" s="7">
        <v>0.0</v>
      </c>
      <c r="K14" s="9">
        <v>0.0</v>
      </c>
      <c r="L14" s="7">
        <v>1.0</v>
      </c>
      <c r="M14" s="7">
        <v>1.0</v>
      </c>
      <c r="N14" s="10">
        <f t="shared" si="6"/>
        <v>2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</row>
    <row r="15">
      <c r="A15" s="5">
        <v>5.0</v>
      </c>
      <c r="B15" s="6">
        <v>1.0</v>
      </c>
      <c r="C15" s="7">
        <v>1.0</v>
      </c>
      <c r="D15" s="7">
        <v>10.0</v>
      </c>
      <c r="E15" s="8">
        <f t="shared" si="5"/>
        <v>0.1</v>
      </c>
      <c r="F15" s="7">
        <v>0.0</v>
      </c>
      <c r="G15" s="7">
        <v>0.0</v>
      </c>
      <c r="H15" s="9">
        <v>0.0</v>
      </c>
      <c r="I15" s="7">
        <v>0.0</v>
      </c>
      <c r="J15" s="7">
        <v>0.0</v>
      </c>
      <c r="K15" s="9">
        <v>0.0</v>
      </c>
      <c r="L15" s="7">
        <v>11.0</v>
      </c>
      <c r="M15" s="7">
        <v>7.0</v>
      </c>
      <c r="N15" s="10">
        <f t="shared" si="6"/>
        <v>18</v>
      </c>
      <c r="O15" s="7">
        <v>0.0</v>
      </c>
      <c r="P15" s="7">
        <v>0.0</v>
      </c>
      <c r="Q15" s="7">
        <v>0.0</v>
      </c>
      <c r="R15" s="7">
        <v>4.0</v>
      </c>
      <c r="S15" s="7">
        <v>1.0</v>
      </c>
    </row>
    <row r="16">
      <c r="A16" s="6" t="s">
        <v>20</v>
      </c>
      <c r="B16" s="11">
        <f t="shared" ref="B16:D16" si="7">SUM(B11:B15)</f>
        <v>2</v>
      </c>
      <c r="C16" s="11">
        <f t="shared" si="7"/>
        <v>2</v>
      </c>
      <c r="D16" s="11">
        <f t="shared" si="7"/>
        <v>29</v>
      </c>
      <c r="E16" s="12">
        <f>AVERAGE(E11:E15)</f>
        <v>0.05714285714</v>
      </c>
      <c r="F16" s="13">
        <v>0.0</v>
      </c>
      <c r="G16" s="13">
        <v>0.0</v>
      </c>
      <c r="H16" s="12">
        <f>AVERAGE(H11:H15)</f>
        <v>0</v>
      </c>
      <c r="I16" s="13">
        <v>0.0</v>
      </c>
      <c r="J16" s="13">
        <v>0.0</v>
      </c>
      <c r="K16" s="12">
        <f>AVERAGE(K11:K15)</f>
        <v>0</v>
      </c>
      <c r="L16" s="11">
        <f t="shared" ref="L16:S16" si="8">SUM(L11:L15)</f>
        <v>12</v>
      </c>
      <c r="M16" s="11">
        <f t="shared" si="8"/>
        <v>9</v>
      </c>
      <c r="N16" s="11">
        <f t="shared" si="8"/>
        <v>21</v>
      </c>
      <c r="O16" s="11">
        <f t="shared" si="8"/>
        <v>0</v>
      </c>
      <c r="P16" s="11">
        <f t="shared" si="8"/>
        <v>0</v>
      </c>
      <c r="Q16" s="11">
        <f t="shared" si="8"/>
        <v>0</v>
      </c>
      <c r="R16" s="11">
        <f t="shared" si="8"/>
        <v>7</v>
      </c>
      <c r="S16" s="11">
        <f t="shared" si="8"/>
        <v>1</v>
      </c>
    </row>
    <row r="18">
      <c r="U18" s="17" t="s">
        <v>22</v>
      </c>
      <c r="V18" s="18" t="s">
        <v>31</v>
      </c>
    </row>
    <row r="19">
      <c r="U19" s="17" t="s">
        <v>23</v>
      </c>
      <c r="V19" s="18" t="s">
        <v>21</v>
      </c>
    </row>
    <row r="20">
      <c r="U20" s="17" t="s">
        <v>24</v>
      </c>
      <c r="V20" s="18" t="s">
        <v>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63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  <col customWidth="1" min="22" max="22" width="28.63"/>
  </cols>
  <sheetData>
    <row r="4">
      <c r="A4" s="1" t="s">
        <v>31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5.0</v>
      </c>
      <c r="C6" s="7">
        <v>3.0</v>
      </c>
      <c r="D6" s="7">
        <v>12.0</v>
      </c>
      <c r="E6" s="8">
        <f t="shared" ref="E6:E7" si="1">C6/D6</f>
        <v>0.25</v>
      </c>
      <c r="F6" s="7">
        <v>2.0</v>
      </c>
      <c r="G6" s="7">
        <v>6.0</v>
      </c>
      <c r="H6" s="8">
        <f>F6/G6</f>
        <v>0.3333333333</v>
      </c>
      <c r="I6" s="7">
        <v>0.0</v>
      </c>
      <c r="J6" s="7">
        <v>0.0</v>
      </c>
      <c r="K6" s="9">
        <v>0.0</v>
      </c>
      <c r="L6" s="7">
        <v>2.0</v>
      </c>
      <c r="M6" s="7">
        <v>5.0</v>
      </c>
      <c r="N6" s="10">
        <f t="shared" ref="N6:N7" si="2">L6+M6</f>
        <v>7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</row>
    <row r="7">
      <c r="A7" s="5">
        <v>2.0</v>
      </c>
      <c r="B7" s="6">
        <v>1.0</v>
      </c>
      <c r="C7" s="7">
        <v>1.0</v>
      </c>
      <c r="D7" s="7">
        <v>6.0</v>
      </c>
      <c r="E7" s="8">
        <f t="shared" si="1"/>
        <v>0.1666666667</v>
      </c>
      <c r="F7" s="7">
        <v>0.0</v>
      </c>
      <c r="G7" s="7">
        <v>0.0</v>
      </c>
      <c r="H7" s="9">
        <v>0.0</v>
      </c>
      <c r="I7" s="7">
        <v>0.0</v>
      </c>
      <c r="J7" s="7">
        <v>0.0</v>
      </c>
      <c r="K7" s="9">
        <v>0.0</v>
      </c>
      <c r="L7" s="7">
        <v>1.0</v>
      </c>
      <c r="M7" s="7">
        <v>5.0</v>
      </c>
      <c r="N7" s="10">
        <f t="shared" si="2"/>
        <v>6</v>
      </c>
      <c r="O7" s="7">
        <v>1.0</v>
      </c>
      <c r="P7" s="7">
        <v>0.0</v>
      </c>
      <c r="Q7" s="7">
        <v>0.0</v>
      </c>
      <c r="R7" s="7">
        <v>3.0</v>
      </c>
      <c r="S7" s="7">
        <v>0.0</v>
      </c>
    </row>
    <row r="8">
      <c r="A8" s="5">
        <v>5.0</v>
      </c>
      <c r="B8" s="6">
        <v>0.0</v>
      </c>
      <c r="C8" s="7">
        <v>0.0</v>
      </c>
      <c r="D8" s="7">
        <v>1.0</v>
      </c>
      <c r="E8" s="9">
        <v>0.0</v>
      </c>
      <c r="F8" s="7">
        <v>0.0</v>
      </c>
      <c r="G8" s="7">
        <v>1.0</v>
      </c>
      <c r="H8" s="9">
        <v>0.0</v>
      </c>
      <c r="I8" s="7">
        <v>0.0</v>
      </c>
      <c r="J8" s="7">
        <v>0.0</v>
      </c>
      <c r="K8" s="9">
        <v>0.0</v>
      </c>
      <c r="L8" s="7">
        <v>0.0</v>
      </c>
      <c r="M8" s="7">
        <v>0.0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</row>
    <row r="9">
      <c r="A9" s="5">
        <v>4.0</v>
      </c>
      <c r="B9" s="6">
        <v>1.0</v>
      </c>
      <c r="C9" s="7">
        <v>1.0</v>
      </c>
      <c r="D9" s="7">
        <v>3.0</v>
      </c>
      <c r="E9" s="8">
        <f>C9/D9</f>
        <v>0.3333333333</v>
      </c>
      <c r="F9" s="7">
        <v>0.0</v>
      </c>
      <c r="G9" s="7">
        <v>0.0</v>
      </c>
      <c r="H9" s="9">
        <v>0.0</v>
      </c>
      <c r="I9" s="7">
        <v>0.0</v>
      </c>
      <c r="J9" s="7">
        <v>0.0</v>
      </c>
      <c r="K9" s="9">
        <v>0.0</v>
      </c>
      <c r="L9" s="7">
        <v>2.0</v>
      </c>
      <c r="M9" s="7">
        <v>4.0</v>
      </c>
      <c r="N9" s="10">
        <f>L9+M9</f>
        <v>6</v>
      </c>
      <c r="O9" s="7">
        <v>1.0</v>
      </c>
      <c r="P9" s="7">
        <v>1.0</v>
      </c>
      <c r="Q9" s="7">
        <v>0.0</v>
      </c>
      <c r="R9" s="7">
        <v>2.0</v>
      </c>
      <c r="S9" s="7">
        <v>0.0</v>
      </c>
    </row>
    <row r="10">
      <c r="A10" s="6" t="s">
        <v>20</v>
      </c>
      <c r="B10" s="11">
        <f t="shared" ref="B10:D10" si="3">SUM(B5:B9)</f>
        <v>7</v>
      </c>
      <c r="C10" s="11">
        <f t="shared" si="3"/>
        <v>5</v>
      </c>
      <c r="D10" s="11">
        <f t="shared" si="3"/>
        <v>22</v>
      </c>
      <c r="E10" s="12">
        <f>AVERAGE(E5:E9)</f>
        <v>0.1875</v>
      </c>
      <c r="F10" s="13">
        <v>0.0</v>
      </c>
      <c r="G10" s="13">
        <v>0.0</v>
      </c>
      <c r="H10" s="12">
        <f>AVERAGE(H5:H9)</f>
        <v>0.08333333333</v>
      </c>
      <c r="I10" s="13">
        <v>0.0</v>
      </c>
      <c r="J10" s="13">
        <v>0.0</v>
      </c>
      <c r="K10" s="12">
        <f>AVERAGE(K5:K9)</f>
        <v>0</v>
      </c>
      <c r="L10" s="11">
        <f t="shared" ref="L10:S10" si="4">SUM(L5:L9)</f>
        <v>5</v>
      </c>
      <c r="M10" s="11">
        <f t="shared" si="4"/>
        <v>14</v>
      </c>
      <c r="N10" s="11">
        <f t="shared" si="4"/>
        <v>19</v>
      </c>
      <c r="O10" s="11">
        <f t="shared" si="4"/>
        <v>2</v>
      </c>
      <c r="P10" s="11">
        <f t="shared" si="4"/>
        <v>1</v>
      </c>
      <c r="Q10" s="11">
        <f t="shared" si="4"/>
        <v>0</v>
      </c>
      <c r="R10" s="11">
        <f t="shared" si="4"/>
        <v>5</v>
      </c>
      <c r="S10" s="11">
        <f t="shared" si="4"/>
        <v>0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4"/>
      <c r="P11" s="2"/>
      <c r="Q11" s="2"/>
      <c r="R11" s="2"/>
      <c r="S11" s="2"/>
    </row>
    <row r="12">
      <c r="A12" s="15" t="s">
        <v>29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>
      <c r="A13" s="16" t="s">
        <v>1</v>
      </c>
      <c r="B13" s="4" t="s">
        <v>2</v>
      </c>
      <c r="C13" s="4" t="s">
        <v>3</v>
      </c>
      <c r="D13" s="4" t="s">
        <v>4</v>
      </c>
      <c r="E13" s="4" t="s">
        <v>5</v>
      </c>
      <c r="F13" s="4" t="s">
        <v>6</v>
      </c>
      <c r="G13" s="4" t="s">
        <v>7</v>
      </c>
      <c r="H13" s="4" t="s">
        <v>8</v>
      </c>
      <c r="I13" s="4" t="s">
        <v>9</v>
      </c>
      <c r="J13" s="4" t="s">
        <v>10</v>
      </c>
      <c r="K13" s="4" t="s">
        <v>11</v>
      </c>
      <c r="L13" s="4" t="s">
        <v>12</v>
      </c>
      <c r="M13" s="4" t="s">
        <v>13</v>
      </c>
      <c r="N13" s="4" t="s">
        <v>14</v>
      </c>
      <c r="O13" s="4" t="s">
        <v>15</v>
      </c>
      <c r="P13" s="4" t="s">
        <v>16</v>
      </c>
      <c r="Q13" s="4" t="s">
        <v>17</v>
      </c>
      <c r="R13" s="4" t="s">
        <v>18</v>
      </c>
      <c r="S13" s="4" t="s">
        <v>19</v>
      </c>
    </row>
    <row r="14">
      <c r="A14" s="5">
        <v>1.0</v>
      </c>
      <c r="B14" s="6">
        <v>4.0</v>
      </c>
      <c r="C14" s="7">
        <v>2.0</v>
      </c>
      <c r="D14" s="7">
        <v>19.0</v>
      </c>
      <c r="E14" s="8">
        <f t="shared" ref="E14:E17" si="5">C14/D14</f>
        <v>0.1052631579</v>
      </c>
      <c r="F14" s="7">
        <v>2.0</v>
      </c>
      <c r="G14" s="7">
        <v>11.0</v>
      </c>
      <c r="H14" s="8">
        <f>F14/G14</f>
        <v>0.1818181818</v>
      </c>
      <c r="I14" s="7">
        <v>0.0</v>
      </c>
      <c r="J14" s="7">
        <v>0.0</v>
      </c>
      <c r="K14" s="9">
        <v>0.0</v>
      </c>
      <c r="L14" s="7">
        <v>1.0</v>
      </c>
      <c r="M14" s="7">
        <v>1.0</v>
      </c>
      <c r="N14" s="10">
        <f t="shared" ref="N14:N17" si="6">L14+M14</f>
        <v>2</v>
      </c>
      <c r="O14" s="7">
        <v>0.0</v>
      </c>
      <c r="P14" s="7">
        <v>1.0</v>
      </c>
      <c r="Q14" s="7">
        <v>0.0</v>
      </c>
      <c r="R14" s="7">
        <v>0.0</v>
      </c>
      <c r="S14" s="7">
        <v>1.0</v>
      </c>
    </row>
    <row r="15">
      <c r="A15" s="5">
        <v>2.0</v>
      </c>
      <c r="B15" s="6">
        <v>2.0</v>
      </c>
      <c r="C15" s="7">
        <v>2.0</v>
      </c>
      <c r="D15" s="7">
        <v>7.0</v>
      </c>
      <c r="E15" s="8">
        <f t="shared" si="5"/>
        <v>0.2857142857</v>
      </c>
      <c r="F15" s="7">
        <v>0.0</v>
      </c>
      <c r="G15" s="7">
        <v>1.0</v>
      </c>
      <c r="H15" s="9">
        <v>0.0</v>
      </c>
      <c r="I15" s="7">
        <v>0.0</v>
      </c>
      <c r="J15" s="7">
        <v>0.0</v>
      </c>
      <c r="K15" s="9">
        <v>0.0</v>
      </c>
      <c r="L15" s="7">
        <v>2.0</v>
      </c>
      <c r="M15" s="7">
        <v>6.0</v>
      </c>
      <c r="N15" s="10">
        <f t="shared" si="6"/>
        <v>8</v>
      </c>
      <c r="O15" s="7">
        <v>1.0</v>
      </c>
      <c r="P15" s="7">
        <v>0.0</v>
      </c>
      <c r="Q15" s="7">
        <v>0.0</v>
      </c>
      <c r="R15" s="7">
        <v>0.0</v>
      </c>
      <c r="S15" s="7">
        <v>0.0</v>
      </c>
    </row>
    <row r="16">
      <c r="A16" s="5">
        <v>3.0</v>
      </c>
      <c r="B16" s="6">
        <v>2.0</v>
      </c>
      <c r="C16" s="7">
        <v>2.0</v>
      </c>
      <c r="D16" s="7">
        <v>3.0</v>
      </c>
      <c r="E16" s="8">
        <f t="shared" si="5"/>
        <v>0.6666666667</v>
      </c>
      <c r="F16" s="7">
        <v>0.0</v>
      </c>
      <c r="G16" s="7">
        <v>0.0</v>
      </c>
      <c r="H16" s="9">
        <v>0.0</v>
      </c>
      <c r="I16" s="7">
        <v>0.0</v>
      </c>
      <c r="J16" s="7">
        <v>0.0</v>
      </c>
      <c r="K16" s="9">
        <v>0.0</v>
      </c>
      <c r="L16" s="7">
        <v>6.0</v>
      </c>
      <c r="M16" s="7">
        <v>3.0</v>
      </c>
      <c r="N16" s="10">
        <f t="shared" si="6"/>
        <v>9</v>
      </c>
      <c r="O16" s="7">
        <v>1.0</v>
      </c>
      <c r="P16" s="7">
        <v>1.0</v>
      </c>
      <c r="Q16" s="7">
        <v>1.0</v>
      </c>
      <c r="R16" s="7">
        <v>0.0</v>
      </c>
      <c r="S16" s="7">
        <v>0.0</v>
      </c>
    </row>
    <row r="17">
      <c r="A17" s="19">
        <v>4.0</v>
      </c>
      <c r="B17" s="21">
        <v>0.0</v>
      </c>
      <c r="C17" s="21">
        <v>0.0</v>
      </c>
      <c r="D17" s="21">
        <v>1.0</v>
      </c>
      <c r="E17" s="8">
        <f t="shared" si="5"/>
        <v>0</v>
      </c>
      <c r="F17" s="21">
        <v>0.0</v>
      </c>
      <c r="G17" s="21">
        <v>0.0</v>
      </c>
      <c r="H17" s="22">
        <v>0.0</v>
      </c>
      <c r="I17" s="21">
        <v>0.0</v>
      </c>
      <c r="J17" s="21">
        <v>0.0</v>
      </c>
      <c r="K17" s="22">
        <v>0.0</v>
      </c>
      <c r="L17" s="21">
        <v>0.0</v>
      </c>
      <c r="M17" s="21">
        <v>2.0</v>
      </c>
      <c r="N17" s="10">
        <f t="shared" si="6"/>
        <v>2</v>
      </c>
      <c r="O17" s="21">
        <v>0.0</v>
      </c>
      <c r="P17" s="21">
        <v>0.0</v>
      </c>
      <c r="Q17" s="21">
        <v>0.0</v>
      </c>
      <c r="R17" s="21">
        <v>1.0</v>
      </c>
      <c r="S17" s="21">
        <v>0.0</v>
      </c>
    </row>
    <row r="18">
      <c r="A18" s="6" t="s">
        <v>20</v>
      </c>
      <c r="B18" s="11">
        <f t="shared" ref="B18:D18" si="7">SUM(B13:B17)</f>
        <v>8</v>
      </c>
      <c r="C18" s="11">
        <f t="shared" si="7"/>
        <v>6</v>
      </c>
      <c r="D18" s="11">
        <f t="shared" si="7"/>
        <v>30</v>
      </c>
      <c r="E18" s="12">
        <f>AVERAGE(E13:E17)</f>
        <v>0.2644110276</v>
      </c>
      <c r="F18" s="13">
        <v>0.0</v>
      </c>
      <c r="G18" s="13">
        <v>0.0</v>
      </c>
      <c r="H18" s="12">
        <f>AVERAGE(H13:H17)</f>
        <v>0.04545454545</v>
      </c>
      <c r="I18" s="13">
        <v>0.0</v>
      </c>
      <c r="J18" s="13">
        <v>0.0</v>
      </c>
      <c r="K18" s="12">
        <f>AVERAGE(K13:K17)</f>
        <v>0</v>
      </c>
      <c r="L18" s="11">
        <f t="shared" ref="L18:S18" si="8">SUM(L13:L17)</f>
        <v>9</v>
      </c>
      <c r="M18" s="11">
        <f t="shared" si="8"/>
        <v>12</v>
      </c>
      <c r="N18" s="11">
        <f t="shared" si="8"/>
        <v>21</v>
      </c>
      <c r="O18" s="11">
        <f t="shared" si="8"/>
        <v>2</v>
      </c>
      <c r="P18" s="11">
        <f t="shared" si="8"/>
        <v>2</v>
      </c>
      <c r="Q18" s="11">
        <f t="shared" si="8"/>
        <v>1</v>
      </c>
      <c r="R18" s="11">
        <f t="shared" si="8"/>
        <v>1</v>
      </c>
      <c r="S18" s="11">
        <f t="shared" si="8"/>
        <v>1</v>
      </c>
    </row>
    <row r="20">
      <c r="U20" s="17" t="s">
        <v>22</v>
      </c>
      <c r="V20" s="18" t="s">
        <v>31</v>
      </c>
    </row>
    <row r="21">
      <c r="U21" s="17" t="s">
        <v>23</v>
      </c>
      <c r="V21" s="18" t="s">
        <v>29</v>
      </c>
    </row>
    <row r="22">
      <c r="U22" s="17" t="s">
        <v>24</v>
      </c>
      <c r="V22" s="18" t="s">
        <v>32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63"/>
    <col customWidth="1" min="6" max="6" width="5.5"/>
    <col customWidth="1" min="7" max="7" width="4.13"/>
    <col customWidth="1" min="8" max="8" width="7.75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4">
      <c r="A4" s="1" t="s">
        <v>30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9.0</v>
      </c>
      <c r="C6" s="7">
        <v>6.0</v>
      </c>
      <c r="D6" s="7">
        <v>15.0</v>
      </c>
      <c r="E6" s="8">
        <f t="shared" ref="E6:E8" si="1">C6/D6</f>
        <v>0.4</v>
      </c>
      <c r="F6" s="7">
        <v>3.0</v>
      </c>
      <c r="G6" s="7">
        <v>5.0</v>
      </c>
      <c r="H6" s="8">
        <f>F6/G6</f>
        <v>0.6</v>
      </c>
      <c r="I6" s="7">
        <v>0.0</v>
      </c>
      <c r="J6" s="7">
        <v>0.0</v>
      </c>
      <c r="K6" s="9">
        <v>0.0</v>
      </c>
      <c r="L6" s="7">
        <v>5.0</v>
      </c>
      <c r="M6" s="7">
        <v>2.0</v>
      </c>
      <c r="N6" s="10">
        <f t="shared" ref="N6:N8" si="2">L6+M6</f>
        <v>7</v>
      </c>
      <c r="O6" s="7">
        <v>4.0</v>
      </c>
      <c r="P6" s="7">
        <v>2.0</v>
      </c>
      <c r="Q6" s="7">
        <v>0.0</v>
      </c>
      <c r="R6" s="7">
        <v>1.0</v>
      </c>
      <c r="S6" s="7">
        <v>0.0</v>
      </c>
    </row>
    <row r="7">
      <c r="A7" s="5">
        <v>2.0</v>
      </c>
      <c r="B7" s="6">
        <v>4.0</v>
      </c>
      <c r="C7" s="7">
        <v>4.0</v>
      </c>
      <c r="D7" s="7">
        <v>11.0</v>
      </c>
      <c r="E7" s="8">
        <f t="shared" si="1"/>
        <v>0.3636363636</v>
      </c>
      <c r="F7" s="7">
        <v>0.0</v>
      </c>
      <c r="G7" s="7">
        <v>0.0</v>
      </c>
      <c r="H7" s="9">
        <v>0.0</v>
      </c>
      <c r="I7" s="7">
        <v>0.0</v>
      </c>
      <c r="J7" s="7">
        <v>0.0</v>
      </c>
      <c r="K7" s="9">
        <v>0.0</v>
      </c>
      <c r="L7" s="7">
        <v>8.0</v>
      </c>
      <c r="M7" s="7">
        <v>2.0</v>
      </c>
      <c r="N7" s="10">
        <f t="shared" si="2"/>
        <v>10</v>
      </c>
      <c r="O7" s="7">
        <v>1.0</v>
      </c>
      <c r="P7" s="7">
        <v>3.0</v>
      </c>
      <c r="Q7" s="7">
        <v>0.0</v>
      </c>
      <c r="R7" s="7">
        <v>0.0</v>
      </c>
      <c r="S7" s="7">
        <v>0.0</v>
      </c>
    </row>
    <row r="8">
      <c r="A8" s="5">
        <v>3.0</v>
      </c>
      <c r="B8" s="6">
        <v>1.0</v>
      </c>
      <c r="C8" s="7">
        <v>1.0</v>
      </c>
      <c r="D8" s="7">
        <v>3.0</v>
      </c>
      <c r="E8" s="8">
        <f t="shared" si="1"/>
        <v>0.3333333333</v>
      </c>
      <c r="F8" s="7">
        <v>0.0</v>
      </c>
      <c r="G8" s="7">
        <v>0.0</v>
      </c>
      <c r="H8" s="9">
        <v>0.0</v>
      </c>
      <c r="I8" s="7">
        <v>0.0</v>
      </c>
      <c r="J8" s="7">
        <v>0.0</v>
      </c>
      <c r="K8" s="9">
        <v>0.0</v>
      </c>
      <c r="L8" s="7">
        <v>1.0</v>
      </c>
      <c r="M8" s="7">
        <v>2.0</v>
      </c>
      <c r="N8" s="10">
        <f t="shared" si="2"/>
        <v>3</v>
      </c>
      <c r="O8" s="7">
        <v>0.0</v>
      </c>
      <c r="P8" s="7">
        <v>0.0</v>
      </c>
      <c r="Q8" s="7">
        <v>0.0</v>
      </c>
      <c r="R8" s="7">
        <v>1.0</v>
      </c>
      <c r="S8" s="7">
        <v>0.0</v>
      </c>
    </row>
    <row r="9">
      <c r="A9" s="6" t="s">
        <v>20</v>
      </c>
      <c r="B9" s="11">
        <f t="shared" ref="B9:D9" si="3">SUM(B4:B8)</f>
        <v>14</v>
      </c>
      <c r="C9" s="11">
        <f t="shared" si="3"/>
        <v>11</v>
      </c>
      <c r="D9" s="11">
        <f t="shared" si="3"/>
        <v>29</v>
      </c>
      <c r="E9" s="12">
        <f>AVERAGE(E4:E8)</f>
        <v>0.3656565657</v>
      </c>
      <c r="F9" s="13">
        <v>0.0</v>
      </c>
      <c r="G9" s="13">
        <v>0.0</v>
      </c>
      <c r="H9" s="12">
        <f>AVERAGE(H4:H8)</f>
        <v>0.2</v>
      </c>
      <c r="I9" s="13">
        <v>0.0</v>
      </c>
      <c r="J9" s="13">
        <v>0.0</v>
      </c>
      <c r="K9" s="12">
        <f>AVERAGE(K4:K8)</f>
        <v>0</v>
      </c>
      <c r="L9" s="11">
        <f t="shared" ref="L9:S9" si="4">SUM(L4:L8)</f>
        <v>14</v>
      </c>
      <c r="M9" s="11">
        <f t="shared" si="4"/>
        <v>6</v>
      </c>
      <c r="N9" s="11">
        <f t="shared" si="4"/>
        <v>20</v>
      </c>
      <c r="O9" s="11">
        <f t="shared" si="4"/>
        <v>5</v>
      </c>
      <c r="P9" s="11">
        <f t="shared" si="4"/>
        <v>5</v>
      </c>
      <c r="Q9" s="11">
        <f t="shared" si="4"/>
        <v>0</v>
      </c>
      <c r="R9" s="11">
        <f t="shared" si="4"/>
        <v>2</v>
      </c>
      <c r="S9" s="11">
        <f t="shared" si="4"/>
        <v>0</v>
      </c>
    </row>
    <row r="10">
      <c r="A10" s="2"/>
      <c r="B10" s="2"/>
      <c r="C10" s="2"/>
      <c r="D10" s="2"/>
      <c r="E10" s="2"/>
      <c r="F10" s="14"/>
      <c r="G10" s="2"/>
      <c r="H10" s="2"/>
      <c r="I10" s="2"/>
      <c r="J10" s="2"/>
      <c r="K10" s="2"/>
      <c r="L10" s="2"/>
      <c r="M10" s="2"/>
      <c r="N10" s="2"/>
      <c r="O10" s="14"/>
      <c r="P10" s="2"/>
      <c r="Q10" s="2"/>
      <c r="R10" s="2"/>
      <c r="S10" s="2"/>
    </row>
    <row r="11">
      <c r="A11" s="15" t="s">
        <v>27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6" t="s">
        <v>1</v>
      </c>
      <c r="B12" s="4" t="s">
        <v>2</v>
      </c>
      <c r="C12" s="4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  <c r="J12" s="4" t="s">
        <v>10</v>
      </c>
      <c r="K12" s="4" t="s">
        <v>11</v>
      </c>
      <c r="L12" s="4" t="s">
        <v>12</v>
      </c>
      <c r="M12" s="4" t="s">
        <v>13</v>
      </c>
      <c r="N12" s="4" t="s">
        <v>14</v>
      </c>
      <c r="O12" s="4" t="s">
        <v>15</v>
      </c>
      <c r="P12" s="4" t="s">
        <v>16</v>
      </c>
      <c r="Q12" s="4" t="s">
        <v>17</v>
      </c>
      <c r="R12" s="4" t="s">
        <v>18</v>
      </c>
      <c r="S12" s="4" t="s">
        <v>19</v>
      </c>
    </row>
    <row r="13">
      <c r="A13" s="5">
        <v>10.0</v>
      </c>
      <c r="B13" s="6">
        <v>0.0</v>
      </c>
      <c r="C13" s="7">
        <v>0.0</v>
      </c>
      <c r="D13" s="7">
        <v>6.0</v>
      </c>
      <c r="E13" s="8">
        <f t="shared" ref="E13:E14" si="5">C13/D13</f>
        <v>0</v>
      </c>
      <c r="F13" s="7">
        <v>0.0</v>
      </c>
      <c r="G13" s="7">
        <v>0.0</v>
      </c>
      <c r="H13" s="9">
        <v>0.0</v>
      </c>
      <c r="I13" s="7">
        <v>0.0</v>
      </c>
      <c r="J13" s="7">
        <v>0.0</v>
      </c>
      <c r="K13" s="9">
        <v>0.0</v>
      </c>
      <c r="L13" s="7">
        <v>0.0</v>
      </c>
      <c r="M13" s="7">
        <v>1.0</v>
      </c>
      <c r="N13" s="10">
        <f t="shared" ref="N13:N16" si="6">L13+M13</f>
        <v>1</v>
      </c>
      <c r="O13" s="7">
        <v>0.0</v>
      </c>
      <c r="P13" s="7">
        <v>0.0</v>
      </c>
      <c r="Q13" s="7">
        <v>0.0</v>
      </c>
      <c r="R13" s="7">
        <v>4.0</v>
      </c>
      <c r="S13" s="7">
        <v>0.0</v>
      </c>
    </row>
    <row r="14">
      <c r="A14" s="5">
        <v>8.0</v>
      </c>
      <c r="B14" s="6">
        <v>0.0</v>
      </c>
      <c r="C14" s="7">
        <v>0.0</v>
      </c>
      <c r="D14" s="7">
        <v>2.0</v>
      </c>
      <c r="E14" s="8">
        <f t="shared" si="5"/>
        <v>0</v>
      </c>
      <c r="F14" s="7">
        <v>0.0</v>
      </c>
      <c r="G14" s="7">
        <v>0.0</v>
      </c>
      <c r="H14" s="9">
        <v>0.0</v>
      </c>
      <c r="I14" s="7">
        <v>0.0</v>
      </c>
      <c r="J14" s="7">
        <v>0.0</v>
      </c>
      <c r="K14" s="9">
        <v>0.0</v>
      </c>
      <c r="L14" s="7">
        <v>0.0</v>
      </c>
      <c r="M14" s="7">
        <v>0.0</v>
      </c>
      <c r="N14" s="10">
        <f t="shared" si="6"/>
        <v>0</v>
      </c>
      <c r="O14" s="7">
        <v>0.0</v>
      </c>
      <c r="P14" s="7">
        <v>0.0</v>
      </c>
      <c r="Q14" s="7">
        <v>0.0</v>
      </c>
      <c r="R14" s="7">
        <v>1.0</v>
      </c>
      <c r="S14" s="7">
        <v>0.0</v>
      </c>
    </row>
    <row r="15">
      <c r="A15" s="5">
        <v>11.0</v>
      </c>
      <c r="B15" s="6">
        <v>0.0</v>
      </c>
      <c r="C15" s="7">
        <v>0.0</v>
      </c>
      <c r="D15" s="7">
        <v>0.0</v>
      </c>
      <c r="E15" s="9">
        <v>0.0</v>
      </c>
      <c r="F15" s="7">
        <v>0.0</v>
      </c>
      <c r="G15" s="7">
        <v>0.0</v>
      </c>
      <c r="H15" s="9">
        <v>0.0</v>
      </c>
      <c r="I15" s="7">
        <v>0.0</v>
      </c>
      <c r="J15" s="7">
        <v>0.0</v>
      </c>
      <c r="K15" s="9">
        <v>0.0</v>
      </c>
      <c r="L15" s="7">
        <v>0.0</v>
      </c>
      <c r="M15" s="7">
        <v>1.0</v>
      </c>
      <c r="N15" s="10">
        <f t="shared" si="6"/>
        <v>1</v>
      </c>
      <c r="O15" s="7">
        <v>0.0</v>
      </c>
      <c r="P15" s="7">
        <v>1.0</v>
      </c>
      <c r="Q15" s="7">
        <v>0.0</v>
      </c>
      <c r="R15" s="7">
        <v>2.0</v>
      </c>
      <c r="S15" s="7">
        <v>0.0</v>
      </c>
    </row>
    <row r="16">
      <c r="A16" s="19">
        <v>4.0</v>
      </c>
      <c r="B16" s="21">
        <v>0.0</v>
      </c>
      <c r="C16" s="21">
        <v>0.0</v>
      </c>
      <c r="D16" s="21">
        <v>0.0</v>
      </c>
      <c r="E16" s="22">
        <v>0.0</v>
      </c>
      <c r="F16" s="21">
        <v>0.0</v>
      </c>
      <c r="G16" s="21">
        <v>0.0</v>
      </c>
      <c r="H16" s="21">
        <v>0.0</v>
      </c>
      <c r="I16" s="21">
        <v>0.0</v>
      </c>
      <c r="J16" s="21">
        <v>0.0</v>
      </c>
      <c r="K16" s="22">
        <v>0.0</v>
      </c>
      <c r="L16" s="21">
        <v>0.0</v>
      </c>
      <c r="M16" s="21">
        <v>0.0</v>
      </c>
      <c r="N16" s="10">
        <f t="shared" si="6"/>
        <v>0</v>
      </c>
      <c r="O16" s="21">
        <v>0.0</v>
      </c>
      <c r="P16" s="21">
        <v>0.0</v>
      </c>
      <c r="Q16" s="21">
        <v>0.0</v>
      </c>
      <c r="R16" s="21">
        <v>0.0</v>
      </c>
      <c r="S16" s="21">
        <v>0.0</v>
      </c>
    </row>
    <row r="17">
      <c r="A17" s="6" t="s">
        <v>20</v>
      </c>
      <c r="B17" s="11">
        <f t="shared" ref="B17:D17" si="7">SUM(B12:B16)</f>
        <v>0</v>
      </c>
      <c r="C17" s="11">
        <f t="shared" si="7"/>
        <v>0</v>
      </c>
      <c r="D17" s="11">
        <f t="shared" si="7"/>
        <v>8</v>
      </c>
      <c r="E17" s="12">
        <f>AVERAGE(E12:E16)</f>
        <v>0</v>
      </c>
      <c r="F17" s="13">
        <v>0.0</v>
      </c>
      <c r="G17" s="13">
        <v>0.0</v>
      </c>
      <c r="H17" s="12">
        <f>AVERAGE(H12:H16)</f>
        <v>0</v>
      </c>
      <c r="I17" s="13">
        <v>0.0</v>
      </c>
      <c r="J17" s="13">
        <v>0.0</v>
      </c>
      <c r="K17" s="12">
        <f>AVERAGE(K12:K16)</f>
        <v>0</v>
      </c>
      <c r="L17" s="11">
        <f t="shared" ref="L17:S17" si="8">SUM(L12:L16)</f>
        <v>0</v>
      </c>
      <c r="M17" s="11">
        <f t="shared" si="8"/>
        <v>2</v>
      </c>
      <c r="N17" s="11">
        <f t="shared" si="8"/>
        <v>2</v>
      </c>
      <c r="O17" s="11">
        <f t="shared" si="8"/>
        <v>0</v>
      </c>
      <c r="P17" s="11">
        <f t="shared" si="8"/>
        <v>1</v>
      </c>
      <c r="Q17" s="11">
        <f t="shared" si="8"/>
        <v>0</v>
      </c>
      <c r="R17" s="11">
        <f t="shared" si="8"/>
        <v>7</v>
      </c>
      <c r="S17" s="11">
        <f t="shared" si="8"/>
        <v>0</v>
      </c>
    </row>
    <row r="19">
      <c r="U19" s="17" t="s">
        <v>22</v>
      </c>
      <c r="V19" s="18" t="s">
        <v>30</v>
      </c>
    </row>
    <row r="20">
      <c r="U20" s="17" t="s">
        <v>23</v>
      </c>
      <c r="V20" s="18" t="s">
        <v>27</v>
      </c>
    </row>
    <row r="21">
      <c r="U21" s="17" t="s">
        <v>24</v>
      </c>
      <c r="V21" s="18" t="s">
        <v>25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63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  <col customWidth="1" min="22" max="22" width="31.25"/>
  </cols>
  <sheetData>
    <row r="4">
      <c r="A4" s="1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2.0</v>
      </c>
      <c r="B6" s="6">
        <v>6.0</v>
      </c>
      <c r="C6" s="7">
        <v>4.0</v>
      </c>
      <c r="D6" s="7">
        <v>8.0</v>
      </c>
      <c r="E6" s="8">
        <f t="shared" ref="E6:E8" si="1">C6/D6</f>
        <v>0.5</v>
      </c>
      <c r="F6" s="7">
        <v>3.0</v>
      </c>
      <c r="G6" s="7">
        <v>5.0</v>
      </c>
      <c r="H6" s="8">
        <f>F6/G6</f>
        <v>0.6</v>
      </c>
      <c r="I6" s="7">
        <v>0.0</v>
      </c>
      <c r="J6" s="7">
        <v>0.0</v>
      </c>
      <c r="K6" s="9">
        <v>0.0</v>
      </c>
      <c r="L6" s="7">
        <v>3.0</v>
      </c>
      <c r="M6" s="7">
        <v>3.0</v>
      </c>
      <c r="N6" s="10">
        <f t="shared" ref="N6:N8" si="2">L6+M6</f>
        <v>6</v>
      </c>
      <c r="O6" s="7">
        <v>1.0</v>
      </c>
      <c r="P6" s="7">
        <v>2.0</v>
      </c>
      <c r="Q6" s="7">
        <v>0.0</v>
      </c>
      <c r="R6" s="7">
        <v>1.0</v>
      </c>
      <c r="S6" s="7">
        <v>0.0</v>
      </c>
    </row>
    <row r="7">
      <c r="A7" s="5">
        <v>4.0</v>
      </c>
      <c r="B7" s="6">
        <v>2.0</v>
      </c>
      <c r="C7" s="7">
        <v>2.0</v>
      </c>
      <c r="D7" s="7">
        <v>6.0</v>
      </c>
      <c r="E7" s="8">
        <f t="shared" si="1"/>
        <v>0.3333333333</v>
      </c>
      <c r="F7" s="7">
        <v>0.0</v>
      </c>
      <c r="G7" s="7">
        <v>0.0</v>
      </c>
      <c r="H7" s="9">
        <v>0.0</v>
      </c>
      <c r="I7" s="7">
        <v>0.0</v>
      </c>
      <c r="J7" s="7">
        <v>0.0</v>
      </c>
      <c r="K7" s="9">
        <v>0.0</v>
      </c>
      <c r="L7" s="7">
        <v>4.0</v>
      </c>
      <c r="M7" s="7">
        <v>2.0</v>
      </c>
      <c r="N7" s="10">
        <f t="shared" si="2"/>
        <v>6</v>
      </c>
      <c r="O7" s="7">
        <v>3.0</v>
      </c>
      <c r="P7" s="7">
        <v>3.0</v>
      </c>
      <c r="Q7" s="7">
        <v>0.0</v>
      </c>
      <c r="R7" s="7">
        <v>0.0</v>
      </c>
      <c r="S7" s="7">
        <v>0.0</v>
      </c>
    </row>
    <row r="8">
      <c r="A8" s="5">
        <v>5.0</v>
      </c>
      <c r="B8" s="6">
        <v>2.0</v>
      </c>
      <c r="C8" s="7">
        <v>2.0</v>
      </c>
      <c r="D8" s="7">
        <v>5.0</v>
      </c>
      <c r="E8" s="8">
        <f t="shared" si="1"/>
        <v>0.4</v>
      </c>
      <c r="F8" s="7">
        <v>0.0</v>
      </c>
      <c r="G8" s="7">
        <v>0.0</v>
      </c>
      <c r="H8" s="9">
        <v>0.0</v>
      </c>
      <c r="I8" s="7">
        <v>0.0</v>
      </c>
      <c r="J8" s="7">
        <v>0.0</v>
      </c>
      <c r="K8" s="9">
        <v>0.0</v>
      </c>
      <c r="L8" s="7">
        <v>1.0</v>
      </c>
      <c r="M8" s="7">
        <v>2.0</v>
      </c>
      <c r="N8" s="10">
        <f t="shared" si="2"/>
        <v>3</v>
      </c>
      <c r="O8" s="7">
        <v>1.0</v>
      </c>
      <c r="P8" s="7">
        <v>0.0</v>
      </c>
      <c r="Q8" s="7">
        <v>0.0</v>
      </c>
      <c r="R8" s="7">
        <v>1.0</v>
      </c>
      <c r="S8" s="7">
        <v>0.0</v>
      </c>
    </row>
    <row r="9">
      <c r="A9" s="6" t="s">
        <v>20</v>
      </c>
      <c r="B9" s="11">
        <f t="shared" ref="B9:D9" si="3">SUM(B4:B8)</f>
        <v>10</v>
      </c>
      <c r="C9" s="11">
        <f t="shared" si="3"/>
        <v>8</v>
      </c>
      <c r="D9" s="11">
        <f t="shared" si="3"/>
        <v>19</v>
      </c>
      <c r="E9" s="12">
        <f>AVERAGE(E4:E8)</f>
        <v>0.4111111111</v>
      </c>
      <c r="F9" s="13">
        <v>0.0</v>
      </c>
      <c r="G9" s="13">
        <v>0.0</v>
      </c>
      <c r="H9" s="12">
        <f>AVERAGE(H4:H8)</f>
        <v>0.2</v>
      </c>
      <c r="I9" s="13">
        <v>0.0</v>
      </c>
      <c r="J9" s="13">
        <v>0.0</v>
      </c>
      <c r="K9" s="12">
        <f>AVERAGE(K4:K8)</f>
        <v>0</v>
      </c>
      <c r="L9" s="11">
        <f t="shared" ref="L9:S9" si="4">SUM(L4:L8)</f>
        <v>8</v>
      </c>
      <c r="M9" s="11">
        <f t="shared" si="4"/>
        <v>7</v>
      </c>
      <c r="N9" s="11">
        <f t="shared" si="4"/>
        <v>15</v>
      </c>
      <c r="O9" s="11">
        <f t="shared" si="4"/>
        <v>5</v>
      </c>
      <c r="P9" s="11">
        <f t="shared" si="4"/>
        <v>5</v>
      </c>
      <c r="Q9" s="11">
        <f t="shared" si="4"/>
        <v>0</v>
      </c>
      <c r="R9" s="11">
        <f t="shared" si="4"/>
        <v>2</v>
      </c>
      <c r="S9" s="11">
        <f t="shared" si="4"/>
        <v>0</v>
      </c>
    </row>
    <row r="10">
      <c r="A10" s="2"/>
      <c r="B10" s="2"/>
      <c r="C10" s="2"/>
      <c r="D10" s="2"/>
      <c r="E10" s="2"/>
      <c r="F10" s="14"/>
      <c r="G10" s="2"/>
      <c r="H10" s="2"/>
      <c r="I10" s="2"/>
      <c r="J10" s="2"/>
      <c r="K10" s="2"/>
      <c r="L10" s="2"/>
      <c r="M10" s="2"/>
      <c r="N10" s="2"/>
      <c r="O10" s="14"/>
      <c r="P10" s="2"/>
      <c r="Q10" s="2"/>
      <c r="R10" s="2"/>
      <c r="S10" s="2"/>
    </row>
    <row r="11">
      <c r="A11" s="15" t="s">
        <v>27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6" t="s">
        <v>1</v>
      </c>
      <c r="B12" s="4" t="s">
        <v>2</v>
      </c>
      <c r="C12" s="4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  <c r="J12" s="4" t="s">
        <v>10</v>
      </c>
      <c r="K12" s="4" t="s">
        <v>11</v>
      </c>
      <c r="L12" s="4" t="s">
        <v>12</v>
      </c>
      <c r="M12" s="4" t="s">
        <v>13</v>
      </c>
      <c r="N12" s="4" t="s">
        <v>14</v>
      </c>
      <c r="O12" s="4" t="s">
        <v>15</v>
      </c>
      <c r="P12" s="4" t="s">
        <v>16</v>
      </c>
      <c r="Q12" s="4" t="s">
        <v>17</v>
      </c>
      <c r="R12" s="4" t="s">
        <v>18</v>
      </c>
      <c r="S12" s="4" t="s">
        <v>19</v>
      </c>
    </row>
    <row r="13">
      <c r="A13" s="5">
        <v>10.0</v>
      </c>
      <c r="B13" s="6">
        <v>3.0</v>
      </c>
      <c r="C13" s="7">
        <v>3.0</v>
      </c>
      <c r="D13" s="7">
        <v>9.0</v>
      </c>
      <c r="E13" s="8">
        <f t="shared" ref="E13:E14" si="5">C13/D13</f>
        <v>0.3333333333</v>
      </c>
      <c r="F13" s="7">
        <v>0.0</v>
      </c>
      <c r="G13" s="7">
        <v>0.0</v>
      </c>
      <c r="H13" s="9">
        <v>0.0</v>
      </c>
      <c r="I13" s="7">
        <v>0.0</v>
      </c>
      <c r="J13" s="7">
        <v>0.0</v>
      </c>
      <c r="K13" s="9">
        <v>0.0</v>
      </c>
      <c r="L13" s="7">
        <v>1.0</v>
      </c>
      <c r="M13" s="7">
        <v>4.0</v>
      </c>
      <c r="N13" s="10">
        <f t="shared" ref="N13:N16" si="6">L13+M13</f>
        <v>5</v>
      </c>
      <c r="O13" s="7">
        <v>0.0</v>
      </c>
      <c r="P13" s="7">
        <v>0.0</v>
      </c>
      <c r="Q13" s="7">
        <v>0.0</v>
      </c>
      <c r="R13" s="7">
        <v>3.0</v>
      </c>
      <c r="S13" s="7">
        <v>0.0</v>
      </c>
    </row>
    <row r="14">
      <c r="A14" s="5">
        <v>8.0</v>
      </c>
      <c r="B14" s="6">
        <v>0.0</v>
      </c>
      <c r="C14" s="7">
        <v>0.0</v>
      </c>
      <c r="D14" s="7">
        <v>2.0</v>
      </c>
      <c r="E14" s="8">
        <f t="shared" si="5"/>
        <v>0</v>
      </c>
      <c r="F14" s="7">
        <v>0.0</v>
      </c>
      <c r="G14" s="7">
        <v>0.0</v>
      </c>
      <c r="H14" s="9">
        <v>0.0</v>
      </c>
      <c r="I14" s="7">
        <v>0.0</v>
      </c>
      <c r="J14" s="7">
        <v>0.0</v>
      </c>
      <c r="K14" s="9">
        <v>0.0</v>
      </c>
      <c r="L14" s="7">
        <v>1.0</v>
      </c>
      <c r="M14" s="7">
        <v>3.0</v>
      </c>
      <c r="N14" s="10">
        <f t="shared" si="6"/>
        <v>4</v>
      </c>
      <c r="O14" s="7">
        <v>0.0</v>
      </c>
      <c r="P14" s="7">
        <v>1.0</v>
      </c>
      <c r="Q14" s="7">
        <v>0.0</v>
      </c>
      <c r="R14" s="7">
        <v>1.0</v>
      </c>
      <c r="S14" s="7">
        <v>0.0</v>
      </c>
    </row>
    <row r="15">
      <c r="A15" s="5">
        <v>11.0</v>
      </c>
      <c r="B15" s="6">
        <v>0.0</v>
      </c>
      <c r="C15" s="7">
        <v>0.0</v>
      </c>
      <c r="D15" s="7">
        <v>1.0</v>
      </c>
      <c r="E15" s="9">
        <v>0.0</v>
      </c>
      <c r="F15" s="7">
        <v>0.0</v>
      </c>
      <c r="G15" s="7">
        <v>0.0</v>
      </c>
      <c r="H15" s="9">
        <v>0.0</v>
      </c>
      <c r="I15" s="7">
        <v>0.0</v>
      </c>
      <c r="J15" s="7">
        <v>0.0</v>
      </c>
      <c r="K15" s="9">
        <v>0.0</v>
      </c>
      <c r="L15" s="7">
        <v>1.0</v>
      </c>
      <c r="M15" s="7">
        <v>2.0</v>
      </c>
      <c r="N15" s="10">
        <f t="shared" si="6"/>
        <v>3</v>
      </c>
      <c r="O15" s="7">
        <v>0.0</v>
      </c>
      <c r="P15" s="7">
        <v>1.0</v>
      </c>
      <c r="Q15" s="7">
        <v>0.0</v>
      </c>
      <c r="R15" s="7">
        <v>2.0</v>
      </c>
      <c r="S15" s="7">
        <v>0.0</v>
      </c>
    </row>
    <row r="16">
      <c r="A16" s="19">
        <v>4.0</v>
      </c>
      <c r="B16" s="21">
        <v>0.0</v>
      </c>
      <c r="C16" s="21">
        <v>0.0</v>
      </c>
      <c r="D16" s="21">
        <v>0.0</v>
      </c>
      <c r="E16" s="22">
        <v>0.0</v>
      </c>
      <c r="F16" s="21">
        <v>0.0</v>
      </c>
      <c r="G16" s="21">
        <v>0.0</v>
      </c>
      <c r="H16" s="21">
        <v>0.0</v>
      </c>
      <c r="I16" s="21">
        <v>0.0</v>
      </c>
      <c r="J16" s="21">
        <v>0.0</v>
      </c>
      <c r="K16" s="22">
        <v>0.0</v>
      </c>
      <c r="L16" s="21">
        <v>0.0</v>
      </c>
      <c r="M16" s="21">
        <v>0.0</v>
      </c>
      <c r="N16" s="10">
        <f t="shared" si="6"/>
        <v>0</v>
      </c>
      <c r="O16" s="21">
        <v>0.0</v>
      </c>
      <c r="P16" s="21">
        <v>0.0</v>
      </c>
      <c r="Q16" s="21">
        <v>0.0</v>
      </c>
      <c r="R16" s="21">
        <v>0.0</v>
      </c>
      <c r="S16" s="21">
        <v>0.0</v>
      </c>
    </row>
    <row r="17">
      <c r="A17" s="6" t="s">
        <v>20</v>
      </c>
      <c r="B17" s="11">
        <f t="shared" ref="B17:D17" si="7">SUM(B12:B16)</f>
        <v>3</v>
      </c>
      <c r="C17" s="11">
        <f t="shared" si="7"/>
        <v>3</v>
      </c>
      <c r="D17" s="11">
        <f t="shared" si="7"/>
        <v>12</v>
      </c>
      <c r="E17" s="12">
        <f>AVERAGE(E12:E16)</f>
        <v>0.08333333333</v>
      </c>
      <c r="F17" s="13">
        <v>0.0</v>
      </c>
      <c r="G17" s="13">
        <v>0.0</v>
      </c>
      <c r="H17" s="12">
        <f>AVERAGE(H12:H16)</f>
        <v>0</v>
      </c>
      <c r="I17" s="13">
        <v>0.0</v>
      </c>
      <c r="J17" s="13">
        <v>0.0</v>
      </c>
      <c r="K17" s="12">
        <f>AVERAGE(K12:K16)</f>
        <v>0</v>
      </c>
      <c r="L17" s="11">
        <f t="shared" ref="L17:S17" si="8">SUM(L12:L16)</f>
        <v>3</v>
      </c>
      <c r="M17" s="11">
        <f t="shared" si="8"/>
        <v>9</v>
      </c>
      <c r="N17" s="11">
        <f t="shared" si="8"/>
        <v>12</v>
      </c>
      <c r="O17" s="11">
        <f t="shared" si="8"/>
        <v>0</v>
      </c>
      <c r="P17" s="11">
        <f t="shared" si="8"/>
        <v>2</v>
      </c>
      <c r="Q17" s="11">
        <f t="shared" si="8"/>
        <v>0</v>
      </c>
      <c r="R17" s="11">
        <f t="shared" si="8"/>
        <v>6</v>
      </c>
      <c r="S17" s="11">
        <f t="shared" si="8"/>
        <v>0</v>
      </c>
    </row>
    <row r="19">
      <c r="U19" s="17" t="s">
        <v>22</v>
      </c>
      <c r="V19" s="18" t="s">
        <v>21</v>
      </c>
    </row>
    <row r="20">
      <c r="U20" s="17" t="s">
        <v>23</v>
      </c>
      <c r="V20" s="18" t="s">
        <v>27</v>
      </c>
    </row>
    <row r="21">
      <c r="U21" s="17" t="s">
        <v>24</v>
      </c>
      <c r="V21" s="18" t="s">
        <v>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63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4">
      <c r="A4" s="1" t="s">
        <v>31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7.0</v>
      </c>
      <c r="C6" s="7">
        <v>6.0</v>
      </c>
      <c r="D6" s="7">
        <v>18.0</v>
      </c>
      <c r="E6" s="8">
        <f t="shared" ref="E6:E8" si="1">C6/D6</f>
        <v>0.3333333333</v>
      </c>
      <c r="F6" s="7">
        <v>1.0</v>
      </c>
      <c r="G6" s="7">
        <v>8.0</v>
      </c>
      <c r="H6" s="8">
        <f>F6/G6</f>
        <v>0.125</v>
      </c>
      <c r="I6" s="7">
        <v>0.0</v>
      </c>
      <c r="J6" s="7">
        <v>0.0</v>
      </c>
      <c r="K6" s="9">
        <v>0.0</v>
      </c>
      <c r="L6" s="7">
        <v>4.0</v>
      </c>
      <c r="M6" s="7">
        <v>8.0</v>
      </c>
      <c r="N6" s="10">
        <f t="shared" ref="N6:N8" si="2">L6+M6</f>
        <v>12</v>
      </c>
      <c r="O6" s="7">
        <v>2.0</v>
      </c>
      <c r="P6" s="7">
        <v>1.0</v>
      </c>
      <c r="Q6" s="7">
        <v>1.0</v>
      </c>
      <c r="R6" s="7">
        <v>2.0</v>
      </c>
      <c r="S6" s="7">
        <v>0.0</v>
      </c>
    </row>
    <row r="7">
      <c r="A7" s="5">
        <v>2.0</v>
      </c>
      <c r="B7" s="6">
        <v>2.0</v>
      </c>
      <c r="C7" s="7">
        <v>2.0</v>
      </c>
      <c r="D7" s="7">
        <v>6.0</v>
      </c>
      <c r="E7" s="8">
        <f t="shared" si="1"/>
        <v>0.3333333333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9">
        <v>0.0</v>
      </c>
      <c r="L7" s="7">
        <v>4.0</v>
      </c>
      <c r="M7" s="7">
        <v>2.0</v>
      </c>
      <c r="N7" s="10">
        <f t="shared" si="2"/>
        <v>6</v>
      </c>
      <c r="O7" s="7">
        <v>1.0</v>
      </c>
      <c r="P7" s="7">
        <v>1.0</v>
      </c>
      <c r="Q7" s="7">
        <v>0.0</v>
      </c>
      <c r="R7" s="7">
        <v>2.0</v>
      </c>
      <c r="S7" s="7">
        <v>0.0</v>
      </c>
    </row>
    <row r="8">
      <c r="A8" s="5">
        <v>3.0</v>
      </c>
      <c r="B8" s="6">
        <v>2.0</v>
      </c>
      <c r="C8" s="7">
        <v>2.0</v>
      </c>
      <c r="D8" s="7">
        <v>6.0</v>
      </c>
      <c r="E8" s="8">
        <f t="shared" si="1"/>
        <v>0.3333333333</v>
      </c>
      <c r="F8" s="7">
        <v>0.0</v>
      </c>
      <c r="G8" s="7">
        <v>1.0</v>
      </c>
      <c r="H8" s="7">
        <v>0.0</v>
      </c>
      <c r="I8" s="7">
        <v>0.0</v>
      </c>
      <c r="J8" s="7">
        <v>0.0</v>
      </c>
      <c r="K8" s="9">
        <v>0.0</v>
      </c>
      <c r="L8" s="7">
        <v>3.0</v>
      </c>
      <c r="M8" s="7">
        <v>2.0</v>
      </c>
      <c r="N8" s="10">
        <f t="shared" si="2"/>
        <v>5</v>
      </c>
      <c r="O8" s="7">
        <v>1.0</v>
      </c>
      <c r="P8" s="7">
        <v>2.0</v>
      </c>
      <c r="Q8" s="7">
        <v>0.0</v>
      </c>
      <c r="R8" s="7">
        <v>2.0</v>
      </c>
      <c r="S8" s="7">
        <v>0.0</v>
      </c>
    </row>
    <row r="9">
      <c r="A9" s="6" t="s">
        <v>20</v>
      </c>
      <c r="B9" s="11">
        <f t="shared" ref="B9:D9" si="3">SUM(B4:B8)</f>
        <v>11</v>
      </c>
      <c r="C9" s="11">
        <f t="shared" si="3"/>
        <v>10</v>
      </c>
      <c r="D9" s="11">
        <f t="shared" si="3"/>
        <v>30</v>
      </c>
      <c r="E9" s="12">
        <f>AVERAGE(E4:E8)</f>
        <v>0.3333333333</v>
      </c>
      <c r="F9" s="13">
        <v>0.0</v>
      </c>
      <c r="G9" s="13">
        <v>0.0</v>
      </c>
      <c r="H9" s="12">
        <f>AVERAGE(H4:H8)</f>
        <v>0.04166666667</v>
      </c>
      <c r="I9" s="13">
        <v>0.0</v>
      </c>
      <c r="J9" s="13">
        <v>0.0</v>
      </c>
      <c r="K9" s="12">
        <f>AVERAGE(K4:K8)</f>
        <v>0</v>
      </c>
      <c r="L9" s="11">
        <f t="shared" ref="L9:S9" si="4">SUM(L4:L8)</f>
        <v>11</v>
      </c>
      <c r="M9" s="11">
        <f t="shared" si="4"/>
        <v>12</v>
      </c>
      <c r="N9" s="11">
        <f t="shared" si="4"/>
        <v>23</v>
      </c>
      <c r="O9" s="11">
        <f t="shared" si="4"/>
        <v>4</v>
      </c>
      <c r="P9" s="11">
        <f t="shared" si="4"/>
        <v>4</v>
      </c>
      <c r="Q9" s="11">
        <f t="shared" si="4"/>
        <v>1</v>
      </c>
      <c r="R9" s="11">
        <f t="shared" si="4"/>
        <v>6</v>
      </c>
      <c r="S9" s="11">
        <f t="shared" si="4"/>
        <v>0</v>
      </c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4"/>
      <c r="P10" s="2"/>
      <c r="Q10" s="2"/>
      <c r="R10" s="2"/>
      <c r="S10" s="2"/>
    </row>
    <row r="11">
      <c r="A11" s="15" t="s">
        <v>27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6" t="s">
        <v>1</v>
      </c>
      <c r="B12" s="4" t="s">
        <v>2</v>
      </c>
      <c r="C12" s="4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  <c r="J12" s="4" t="s">
        <v>10</v>
      </c>
      <c r="K12" s="4" t="s">
        <v>11</v>
      </c>
      <c r="L12" s="4" t="s">
        <v>12</v>
      </c>
      <c r="M12" s="4" t="s">
        <v>13</v>
      </c>
      <c r="N12" s="4" t="s">
        <v>14</v>
      </c>
      <c r="O12" s="4" t="s">
        <v>15</v>
      </c>
      <c r="P12" s="4" t="s">
        <v>16</v>
      </c>
      <c r="Q12" s="4" t="s">
        <v>17</v>
      </c>
      <c r="R12" s="4" t="s">
        <v>18</v>
      </c>
      <c r="S12" s="4" t="s">
        <v>19</v>
      </c>
    </row>
    <row r="13">
      <c r="A13" s="5">
        <v>10.0</v>
      </c>
      <c r="B13" s="6">
        <v>5.0</v>
      </c>
      <c r="C13" s="7">
        <v>5.0</v>
      </c>
      <c r="D13" s="7">
        <v>18.0</v>
      </c>
      <c r="E13" s="8">
        <f t="shared" ref="E13:E15" si="5">C13/D13</f>
        <v>0.2777777778</v>
      </c>
      <c r="F13" s="7">
        <v>0.0</v>
      </c>
      <c r="G13" s="7">
        <v>1.0</v>
      </c>
      <c r="H13" s="9">
        <v>0.0</v>
      </c>
      <c r="I13" s="7">
        <v>0.0</v>
      </c>
      <c r="J13" s="7">
        <v>0.0</v>
      </c>
      <c r="K13" s="9">
        <v>0.0</v>
      </c>
      <c r="L13" s="7">
        <v>1.0</v>
      </c>
      <c r="M13" s="7">
        <v>1.0</v>
      </c>
      <c r="N13" s="10">
        <f t="shared" ref="N13:N15" si="6">L13+M13</f>
        <v>2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</row>
    <row r="14">
      <c r="A14" s="5">
        <v>8.0</v>
      </c>
      <c r="B14" s="6">
        <v>0.0</v>
      </c>
      <c r="C14" s="7">
        <v>0.0</v>
      </c>
      <c r="D14" s="7">
        <v>4.0</v>
      </c>
      <c r="E14" s="8">
        <f t="shared" si="5"/>
        <v>0</v>
      </c>
      <c r="F14" s="7">
        <v>0.0</v>
      </c>
      <c r="G14" s="7">
        <v>1.0</v>
      </c>
      <c r="H14" s="9">
        <v>0.0</v>
      </c>
      <c r="I14" s="7">
        <v>0.0</v>
      </c>
      <c r="J14" s="7">
        <v>0.0</v>
      </c>
      <c r="K14" s="9">
        <v>0.0</v>
      </c>
      <c r="L14" s="7">
        <v>1.0</v>
      </c>
      <c r="M14" s="7">
        <v>3.0</v>
      </c>
      <c r="N14" s="10">
        <f t="shared" si="6"/>
        <v>4</v>
      </c>
      <c r="O14" s="7">
        <v>1.0</v>
      </c>
      <c r="P14" s="7">
        <v>3.0</v>
      </c>
      <c r="Q14" s="7">
        <v>0.0</v>
      </c>
      <c r="R14" s="7">
        <v>2.0</v>
      </c>
      <c r="S14" s="7">
        <v>0.0</v>
      </c>
    </row>
    <row r="15">
      <c r="A15" s="5">
        <v>11.0</v>
      </c>
      <c r="B15" s="6">
        <v>0.0</v>
      </c>
      <c r="C15" s="7">
        <v>0.0</v>
      </c>
      <c r="D15" s="7">
        <v>1.0</v>
      </c>
      <c r="E15" s="8">
        <f t="shared" si="5"/>
        <v>0</v>
      </c>
      <c r="F15" s="7">
        <v>0.0</v>
      </c>
      <c r="G15" s="7">
        <v>0.0</v>
      </c>
      <c r="H15" s="9">
        <v>0.0</v>
      </c>
      <c r="I15" s="7">
        <v>0.0</v>
      </c>
      <c r="J15" s="7">
        <v>0.0</v>
      </c>
      <c r="K15" s="9">
        <v>0.0</v>
      </c>
      <c r="L15" s="7">
        <v>3.0</v>
      </c>
      <c r="M15" s="7">
        <v>2.0</v>
      </c>
      <c r="N15" s="10">
        <f t="shared" si="6"/>
        <v>5</v>
      </c>
      <c r="O15" s="7">
        <v>0.0</v>
      </c>
      <c r="P15" s="7">
        <v>1.0</v>
      </c>
      <c r="Q15" s="7">
        <v>0.0</v>
      </c>
      <c r="R15" s="7">
        <v>3.0</v>
      </c>
      <c r="S15" s="7">
        <v>0.0</v>
      </c>
    </row>
    <row r="16">
      <c r="A16" s="6" t="s">
        <v>20</v>
      </c>
      <c r="B16" s="11">
        <f t="shared" ref="B16:D16" si="7">SUM(B11:B15)</f>
        <v>5</v>
      </c>
      <c r="C16" s="11">
        <f t="shared" si="7"/>
        <v>5</v>
      </c>
      <c r="D16" s="11">
        <f t="shared" si="7"/>
        <v>23</v>
      </c>
      <c r="E16" s="12">
        <f>AVERAGE(E11:E15)</f>
        <v>0.09259259259</v>
      </c>
      <c r="F16" s="13">
        <v>0.0</v>
      </c>
      <c r="G16" s="13">
        <v>0.0</v>
      </c>
      <c r="H16" s="12">
        <f>AVERAGE(H11:H15)</f>
        <v>0</v>
      </c>
      <c r="I16" s="13">
        <v>0.0</v>
      </c>
      <c r="J16" s="13">
        <v>0.0</v>
      </c>
      <c r="K16" s="12">
        <f>AVERAGE(K11:K15)</f>
        <v>0</v>
      </c>
      <c r="L16" s="11">
        <f t="shared" ref="L16:S16" si="8">SUM(L11:L15)</f>
        <v>5</v>
      </c>
      <c r="M16" s="11">
        <f t="shared" si="8"/>
        <v>6</v>
      </c>
      <c r="N16" s="11">
        <f t="shared" si="8"/>
        <v>11</v>
      </c>
      <c r="O16" s="11">
        <f t="shared" si="8"/>
        <v>1</v>
      </c>
      <c r="P16" s="11">
        <f t="shared" si="8"/>
        <v>4</v>
      </c>
      <c r="Q16" s="11">
        <f t="shared" si="8"/>
        <v>0</v>
      </c>
      <c r="R16" s="11">
        <f t="shared" si="8"/>
        <v>5</v>
      </c>
      <c r="S16" s="11">
        <f t="shared" si="8"/>
        <v>0</v>
      </c>
    </row>
    <row r="18">
      <c r="U18" s="17" t="s">
        <v>22</v>
      </c>
      <c r="V18" s="18" t="s">
        <v>31</v>
      </c>
    </row>
    <row r="19">
      <c r="U19" s="17" t="s">
        <v>23</v>
      </c>
      <c r="V19" s="18" t="s">
        <v>27</v>
      </c>
    </row>
    <row r="20">
      <c r="U20" s="17" t="s">
        <v>24</v>
      </c>
      <c r="V20" s="18" t="s">
        <v>25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63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  <col customWidth="1" min="21" max="21" width="25.38"/>
  </cols>
  <sheetData>
    <row r="4">
      <c r="A4" s="1" t="s">
        <v>28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2.0</v>
      </c>
      <c r="C6" s="7">
        <v>2.0</v>
      </c>
      <c r="D6" s="7">
        <v>2.0</v>
      </c>
      <c r="E6" s="8">
        <f t="shared" ref="E6:E10" si="1">C6/D6</f>
        <v>1</v>
      </c>
      <c r="F6" s="7">
        <v>0.0</v>
      </c>
      <c r="G6" s="7">
        <v>0.0</v>
      </c>
      <c r="H6" s="23">
        <v>0.0</v>
      </c>
      <c r="I6" s="7">
        <v>0.0</v>
      </c>
      <c r="J6" s="7">
        <v>0.0</v>
      </c>
      <c r="K6" s="9">
        <v>0.0</v>
      </c>
      <c r="L6" s="7">
        <v>0.0</v>
      </c>
      <c r="M6" s="7">
        <v>2.0</v>
      </c>
      <c r="N6" s="10">
        <f t="shared" ref="N6:N10" si="2">L6+M6</f>
        <v>2</v>
      </c>
      <c r="O6" s="7">
        <v>0.0</v>
      </c>
      <c r="P6" s="7">
        <v>0.0</v>
      </c>
      <c r="Q6" s="7">
        <v>0.0</v>
      </c>
      <c r="R6" s="7">
        <v>1.0</v>
      </c>
      <c r="S6" s="7">
        <v>0.0</v>
      </c>
    </row>
    <row r="7">
      <c r="A7" s="5">
        <v>2.0</v>
      </c>
      <c r="B7" s="6">
        <v>3.0</v>
      </c>
      <c r="C7" s="7">
        <v>3.0</v>
      </c>
      <c r="D7" s="7">
        <v>3.0</v>
      </c>
      <c r="E7" s="8">
        <f t="shared" si="1"/>
        <v>1</v>
      </c>
      <c r="F7" s="7">
        <v>0.0</v>
      </c>
      <c r="G7" s="7">
        <v>0.0</v>
      </c>
      <c r="H7" s="23">
        <v>0.0</v>
      </c>
      <c r="I7" s="7">
        <v>0.0</v>
      </c>
      <c r="J7" s="7">
        <v>0.0</v>
      </c>
      <c r="K7" s="9">
        <v>0.0</v>
      </c>
      <c r="L7" s="7">
        <v>0.0</v>
      </c>
      <c r="M7" s="7">
        <v>0.0</v>
      </c>
      <c r="N7" s="10">
        <f t="shared" si="2"/>
        <v>0</v>
      </c>
      <c r="O7" s="7">
        <v>0.0</v>
      </c>
      <c r="P7" s="7">
        <v>2.0</v>
      </c>
      <c r="Q7" s="7">
        <v>0.0</v>
      </c>
      <c r="R7" s="7">
        <v>0.0</v>
      </c>
      <c r="S7" s="7">
        <v>0.0</v>
      </c>
    </row>
    <row r="8">
      <c r="A8" s="5">
        <v>3.0</v>
      </c>
      <c r="B8" s="6">
        <v>3.0</v>
      </c>
      <c r="C8" s="7">
        <v>3.0</v>
      </c>
      <c r="D8" s="7">
        <v>4.0</v>
      </c>
      <c r="E8" s="8">
        <f t="shared" si="1"/>
        <v>0.75</v>
      </c>
      <c r="F8" s="7">
        <v>0.0</v>
      </c>
      <c r="G8" s="7">
        <v>0.0</v>
      </c>
      <c r="H8" s="23">
        <v>0.0</v>
      </c>
      <c r="I8" s="7">
        <v>0.0</v>
      </c>
      <c r="J8" s="7">
        <v>0.0</v>
      </c>
      <c r="K8" s="9">
        <v>0.0</v>
      </c>
      <c r="L8" s="7">
        <v>1.0</v>
      </c>
      <c r="M8" s="7">
        <v>1.0</v>
      </c>
      <c r="N8" s="10">
        <f t="shared" si="2"/>
        <v>2</v>
      </c>
      <c r="O8" s="7">
        <v>2.0</v>
      </c>
      <c r="P8" s="7">
        <v>0.0</v>
      </c>
      <c r="Q8" s="7">
        <v>0.0</v>
      </c>
      <c r="R8" s="7">
        <v>0.0</v>
      </c>
      <c r="S8" s="7">
        <v>0.0</v>
      </c>
    </row>
    <row r="9">
      <c r="A9" s="5">
        <v>4.0</v>
      </c>
      <c r="B9" s="6">
        <v>0.0</v>
      </c>
      <c r="C9" s="7">
        <v>0.0</v>
      </c>
      <c r="D9" s="7">
        <v>4.0</v>
      </c>
      <c r="E9" s="8">
        <f t="shared" si="1"/>
        <v>0</v>
      </c>
      <c r="F9" s="7">
        <v>0.0</v>
      </c>
      <c r="G9" s="7">
        <v>0.0</v>
      </c>
      <c r="H9" s="23">
        <v>0.0</v>
      </c>
      <c r="I9" s="7">
        <v>0.0</v>
      </c>
      <c r="J9" s="7">
        <v>0.0</v>
      </c>
      <c r="K9" s="9">
        <v>0.0</v>
      </c>
      <c r="L9" s="7">
        <v>0.0</v>
      </c>
      <c r="M9" s="7">
        <v>1.0</v>
      </c>
      <c r="N9" s="10">
        <f t="shared" si="2"/>
        <v>1</v>
      </c>
      <c r="O9" s="7">
        <v>0.0</v>
      </c>
      <c r="P9" s="7">
        <v>0.0</v>
      </c>
      <c r="Q9" s="7">
        <v>0.0</v>
      </c>
      <c r="R9" s="7">
        <v>0.0</v>
      </c>
      <c r="S9" s="7">
        <v>1.0</v>
      </c>
    </row>
    <row r="10">
      <c r="A10" s="5">
        <v>5.0</v>
      </c>
      <c r="B10" s="6">
        <v>4.0</v>
      </c>
      <c r="C10" s="7">
        <v>4.0</v>
      </c>
      <c r="D10" s="7">
        <v>8.0</v>
      </c>
      <c r="E10" s="8">
        <f t="shared" si="1"/>
        <v>0.5</v>
      </c>
      <c r="F10" s="7">
        <v>0.0</v>
      </c>
      <c r="G10" s="7">
        <v>0.0</v>
      </c>
      <c r="H10" s="23">
        <v>0.0</v>
      </c>
      <c r="I10" s="7">
        <v>0.0</v>
      </c>
      <c r="J10" s="7">
        <v>0.0</v>
      </c>
      <c r="K10" s="9">
        <v>0.0</v>
      </c>
      <c r="L10" s="7">
        <v>1.0</v>
      </c>
      <c r="M10" s="7">
        <v>1.0</v>
      </c>
      <c r="N10" s="10">
        <f t="shared" si="2"/>
        <v>2</v>
      </c>
      <c r="O10" s="7">
        <v>0.0</v>
      </c>
      <c r="P10" s="7">
        <v>3.0</v>
      </c>
      <c r="Q10" s="7">
        <v>0.0</v>
      </c>
      <c r="R10" s="7">
        <v>0.0</v>
      </c>
      <c r="S10" s="7">
        <v>0.0</v>
      </c>
    </row>
    <row r="11">
      <c r="A11" s="6" t="s">
        <v>20</v>
      </c>
      <c r="B11" s="11">
        <f t="shared" ref="B11:D11" si="3">SUM(B6:B10)</f>
        <v>12</v>
      </c>
      <c r="C11" s="11">
        <f t="shared" si="3"/>
        <v>12</v>
      </c>
      <c r="D11" s="11">
        <f t="shared" si="3"/>
        <v>21</v>
      </c>
      <c r="E11" s="12">
        <f>AVERAGE(E6:E10)</f>
        <v>0.65</v>
      </c>
      <c r="F11" s="13">
        <v>0.0</v>
      </c>
      <c r="G11" s="13">
        <v>0.0</v>
      </c>
      <c r="H11" s="12">
        <f>AVERAGE(H6:H10)</f>
        <v>0</v>
      </c>
      <c r="I11" s="13">
        <v>0.0</v>
      </c>
      <c r="J11" s="13">
        <v>0.0</v>
      </c>
      <c r="K11" s="12">
        <f>AVERAGE(K6:K10)</f>
        <v>0</v>
      </c>
      <c r="L11" s="11">
        <f t="shared" ref="L11:S11" si="4">SUM(L6:L10)</f>
        <v>2</v>
      </c>
      <c r="M11" s="11">
        <f t="shared" si="4"/>
        <v>5</v>
      </c>
      <c r="N11" s="11">
        <f t="shared" si="4"/>
        <v>7</v>
      </c>
      <c r="O11" s="11">
        <f t="shared" si="4"/>
        <v>2</v>
      </c>
      <c r="P11" s="11">
        <f t="shared" si="4"/>
        <v>5</v>
      </c>
      <c r="Q11" s="11">
        <f t="shared" si="4"/>
        <v>0</v>
      </c>
      <c r="R11" s="11">
        <f t="shared" si="4"/>
        <v>1</v>
      </c>
      <c r="S11" s="11">
        <f t="shared" si="4"/>
        <v>1</v>
      </c>
    </row>
    <row r="12">
      <c r="A12" s="2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4"/>
      <c r="P12" s="2"/>
      <c r="Q12" s="2"/>
      <c r="R12" s="2"/>
      <c r="S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4"/>
      <c r="P13" s="2"/>
      <c r="Q13" s="2"/>
      <c r="R13" s="2"/>
      <c r="S13" s="2"/>
    </row>
    <row r="14">
      <c r="A14" s="15" t="s">
        <v>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>
      <c r="A15" s="16" t="s">
        <v>1</v>
      </c>
      <c r="B15" s="4" t="s">
        <v>2</v>
      </c>
      <c r="C15" s="4" t="s">
        <v>3</v>
      </c>
      <c r="D15" s="4" t="s">
        <v>4</v>
      </c>
      <c r="E15" s="4" t="s">
        <v>5</v>
      </c>
      <c r="F15" s="4" t="s">
        <v>6</v>
      </c>
      <c r="G15" s="4" t="s">
        <v>7</v>
      </c>
      <c r="H15" s="4" t="s">
        <v>8</v>
      </c>
      <c r="I15" s="4" t="s">
        <v>9</v>
      </c>
      <c r="J15" s="4" t="s">
        <v>10</v>
      </c>
      <c r="K15" s="4" t="s">
        <v>11</v>
      </c>
      <c r="L15" s="4" t="s">
        <v>12</v>
      </c>
      <c r="M15" s="4" t="s">
        <v>13</v>
      </c>
      <c r="N15" s="4" t="s">
        <v>14</v>
      </c>
      <c r="O15" s="4" t="s">
        <v>15</v>
      </c>
      <c r="P15" s="4" t="s">
        <v>16</v>
      </c>
      <c r="Q15" s="4" t="s">
        <v>17</v>
      </c>
      <c r="R15" s="4" t="s">
        <v>18</v>
      </c>
      <c r="S15" s="4" t="s">
        <v>19</v>
      </c>
    </row>
    <row r="16">
      <c r="A16" s="5">
        <v>1.0</v>
      </c>
      <c r="B16" s="6">
        <v>0.0</v>
      </c>
      <c r="C16" s="7">
        <v>0.0</v>
      </c>
      <c r="D16" s="7">
        <v>2.0</v>
      </c>
      <c r="E16" s="8">
        <f t="shared" ref="E16:E17" si="5">C16/D16</f>
        <v>0</v>
      </c>
      <c r="F16" s="7">
        <v>0.0</v>
      </c>
      <c r="G16" s="7">
        <v>0.0</v>
      </c>
      <c r="H16" s="9">
        <v>0.0</v>
      </c>
      <c r="I16" s="7">
        <v>0.0</v>
      </c>
      <c r="J16" s="7">
        <v>0.0</v>
      </c>
      <c r="K16" s="9">
        <v>0.0</v>
      </c>
      <c r="L16" s="7">
        <v>0.0</v>
      </c>
      <c r="M16" s="7">
        <v>2.0</v>
      </c>
      <c r="N16" s="10">
        <f t="shared" ref="N16:N20" si="6">L16+M16</f>
        <v>2</v>
      </c>
      <c r="O16" s="7">
        <v>0.0</v>
      </c>
      <c r="P16" s="7">
        <v>0.0</v>
      </c>
      <c r="Q16" s="7">
        <v>0.0</v>
      </c>
      <c r="R16" s="7">
        <v>1.0</v>
      </c>
      <c r="S16" s="7">
        <v>1.0</v>
      </c>
    </row>
    <row r="17">
      <c r="A17" s="5">
        <v>12.0</v>
      </c>
      <c r="B17" s="6">
        <v>1.0</v>
      </c>
      <c r="C17" s="7">
        <v>1.0</v>
      </c>
      <c r="D17" s="7">
        <v>6.0</v>
      </c>
      <c r="E17" s="8">
        <f t="shared" si="5"/>
        <v>0.1666666667</v>
      </c>
      <c r="F17" s="7">
        <v>0.0</v>
      </c>
      <c r="G17" s="7">
        <v>0.0</v>
      </c>
      <c r="H17" s="9">
        <v>0.0</v>
      </c>
      <c r="I17" s="7">
        <v>0.0</v>
      </c>
      <c r="J17" s="7">
        <v>0.0</v>
      </c>
      <c r="K17" s="9">
        <v>0.0</v>
      </c>
      <c r="L17" s="7">
        <v>2.0</v>
      </c>
      <c r="M17" s="7">
        <v>1.0</v>
      </c>
      <c r="N17" s="10">
        <f t="shared" si="6"/>
        <v>3</v>
      </c>
      <c r="O17" s="7">
        <v>0.0</v>
      </c>
      <c r="P17" s="7">
        <v>0.0</v>
      </c>
      <c r="Q17" s="7">
        <v>0.0</v>
      </c>
      <c r="R17" s="7">
        <v>3.0</v>
      </c>
      <c r="S17" s="7">
        <v>0.0</v>
      </c>
    </row>
    <row r="18">
      <c r="A18" s="5">
        <v>3.0</v>
      </c>
      <c r="B18" s="6">
        <v>0.0</v>
      </c>
      <c r="C18" s="7">
        <v>0.0</v>
      </c>
      <c r="D18" s="7">
        <v>0.0</v>
      </c>
      <c r="E18" s="9">
        <v>0.0</v>
      </c>
      <c r="F18" s="7">
        <v>0.0</v>
      </c>
      <c r="G18" s="7">
        <v>0.0</v>
      </c>
      <c r="H18" s="9">
        <v>0.0</v>
      </c>
      <c r="I18" s="7">
        <v>0.0</v>
      </c>
      <c r="J18" s="7">
        <v>0.0</v>
      </c>
      <c r="K18" s="9">
        <v>0.0</v>
      </c>
      <c r="L18" s="7">
        <v>0.0</v>
      </c>
      <c r="M18" s="7">
        <v>0.0</v>
      </c>
      <c r="N18" s="10">
        <f t="shared" si="6"/>
        <v>0</v>
      </c>
      <c r="O18" s="7">
        <v>0.0</v>
      </c>
      <c r="P18" s="7">
        <v>0.0</v>
      </c>
      <c r="Q18" s="7">
        <v>0.0</v>
      </c>
      <c r="R18" s="7">
        <v>0.0</v>
      </c>
      <c r="S18" s="7">
        <v>0.0</v>
      </c>
    </row>
    <row r="19">
      <c r="A19" s="5">
        <v>4.0</v>
      </c>
      <c r="B19" s="6">
        <v>0.0</v>
      </c>
      <c r="C19" s="7">
        <v>0.0</v>
      </c>
      <c r="D19" s="7">
        <v>2.0</v>
      </c>
      <c r="E19" s="8">
        <f>C19/D19</f>
        <v>0</v>
      </c>
      <c r="F19" s="7">
        <v>0.0</v>
      </c>
      <c r="G19" s="7">
        <v>0.0</v>
      </c>
      <c r="H19" s="9">
        <v>0.0</v>
      </c>
      <c r="I19" s="7">
        <v>0.0</v>
      </c>
      <c r="J19" s="7">
        <v>0.0</v>
      </c>
      <c r="K19" s="9">
        <v>0.0</v>
      </c>
      <c r="L19" s="7">
        <v>0.0</v>
      </c>
      <c r="M19" s="7">
        <v>0.0</v>
      </c>
      <c r="N19" s="10">
        <f t="shared" si="6"/>
        <v>0</v>
      </c>
      <c r="O19" s="7">
        <v>0.0</v>
      </c>
      <c r="P19" s="7">
        <v>0.0</v>
      </c>
      <c r="Q19" s="7">
        <v>0.0</v>
      </c>
      <c r="R19" s="7">
        <v>1.0</v>
      </c>
      <c r="S19" s="7">
        <v>1.0</v>
      </c>
    </row>
    <row r="20">
      <c r="A20" s="5">
        <v>7.0</v>
      </c>
      <c r="B20" s="21">
        <v>0.0</v>
      </c>
      <c r="C20" s="21">
        <v>0.0</v>
      </c>
      <c r="D20" s="21">
        <v>0.0</v>
      </c>
      <c r="E20" s="9">
        <v>0.0</v>
      </c>
      <c r="F20" s="21">
        <v>0.0</v>
      </c>
      <c r="G20" s="21">
        <v>0.0</v>
      </c>
      <c r="H20" s="21">
        <v>0.0</v>
      </c>
      <c r="I20" s="21">
        <v>0.0</v>
      </c>
      <c r="J20" s="21">
        <v>0.0</v>
      </c>
      <c r="K20" s="21">
        <v>0.0</v>
      </c>
      <c r="L20" s="21">
        <v>0.0</v>
      </c>
      <c r="M20" s="21">
        <v>1.0</v>
      </c>
      <c r="N20" s="10">
        <f t="shared" si="6"/>
        <v>1</v>
      </c>
      <c r="O20" s="21">
        <v>0.0</v>
      </c>
      <c r="P20" s="21">
        <v>0.0</v>
      </c>
      <c r="Q20" s="21">
        <v>1.0</v>
      </c>
      <c r="R20" s="21">
        <v>0.0</v>
      </c>
      <c r="S20" s="21">
        <v>1.0</v>
      </c>
    </row>
    <row r="21">
      <c r="A21" s="6" t="s">
        <v>20</v>
      </c>
      <c r="B21" s="11">
        <f t="shared" ref="B21:D21" si="7">SUM(B16:B20)</f>
        <v>1</v>
      </c>
      <c r="C21" s="11">
        <f t="shared" si="7"/>
        <v>1</v>
      </c>
      <c r="D21" s="11">
        <f t="shared" si="7"/>
        <v>10</v>
      </c>
      <c r="E21" s="12">
        <f>AVERAGE(E16:E20)</f>
        <v>0.03333333333</v>
      </c>
      <c r="F21" s="13">
        <v>0.0</v>
      </c>
      <c r="G21" s="13">
        <v>0.0</v>
      </c>
      <c r="H21" s="12">
        <f>AVERAGE(H16:H20)</f>
        <v>0</v>
      </c>
      <c r="I21" s="13">
        <v>0.0</v>
      </c>
      <c r="J21" s="13">
        <v>0.0</v>
      </c>
      <c r="K21" s="12">
        <f>AVERAGE(K16:K20)</f>
        <v>0</v>
      </c>
      <c r="L21" s="11">
        <f t="shared" ref="L21:S21" si="8">SUM(L16:L20)</f>
        <v>2</v>
      </c>
      <c r="M21" s="11">
        <f t="shared" si="8"/>
        <v>4</v>
      </c>
      <c r="N21" s="11">
        <f t="shared" si="8"/>
        <v>6</v>
      </c>
      <c r="O21" s="11">
        <f t="shared" si="8"/>
        <v>0</v>
      </c>
      <c r="P21" s="11">
        <f t="shared" si="8"/>
        <v>0</v>
      </c>
      <c r="Q21" s="11">
        <f t="shared" si="8"/>
        <v>1</v>
      </c>
      <c r="R21" s="11">
        <f t="shared" si="8"/>
        <v>5</v>
      </c>
      <c r="S21" s="11">
        <f t="shared" si="8"/>
        <v>3</v>
      </c>
    </row>
    <row r="22">
      <c r="A22" s="25"/>
    </row>
    <row r="23">
      <c r="U23" s="17" t="s">
        <v>22</v>
      </c>
      <c r="V23" s="18" t="s">
        <v>28</v>
      </c>
    </row>
    <row r="24">
      <c r="U24" s="17" t="s">
        <v>23</v>
      </c>
      <c r="V24" s="18" t="s">
        <v>0</v>
      </c>
    </row>
    <row r="25">
      <c r="U25" s="17" t="s">
        <v>24</v>
      </c>
      <c r="V25" s="18" t="s">
        <v>25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13.75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  <col customWidth="1" min="22" max="22" width="17.38"/>
  </cols>
  <sheetData>
    <row r="4">
      <c r="A4" s="1" t="s">
        <v>28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2.0</v>
      </c>
      <c r="C6" s="7">
        <v>2.0</v>
      </c>
      <c r="D6" s="7">
        <v>3.0</v>
      </c>
      <c r="E6" s="8">
        <f t="shared" ref="E6:E8" si="1">C6/D6</f>
        <v>0.6666666667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9">
        <v>0.0</v>
      </c>
      <c r="L6" s="7">
        <v>3.0</v>
      </c>
      <c r="M6" s="7">
        <v>3.0</v>
      </c>
      <c r="N6" s="10">
        <f t="shared" ref="N6:N10" si="2">L6+M6</f>
        <v>6</v>
      </c>
      <c r="O6" s="7">
        <v>0.0</v>
      </c>
      <c r="P6" s="7">
        <v>1.0</v>
      </c>
      <c r="Q6" s="7">
        <v>0.0</v>
      </c>
      <c r="R6" s="7">
        <v>2.0</v>
      </c>
      <c r="S6" s="7">
        <v>0.0</v>
      </c>
    </row>
    <row r="7">
      <c r="A7" s="5">
        <v>2.0</v>
      </c>
      <c r="B7" s="6">
        <v>2.0</v>
      </c>
      <c r="C7" s="7">
        <v>2.0</v>
      </c>
      <c r="D7" s="7">
        <v>9.0</v>
      </c>
      <c r="E7" s="8">
        <f t="shared" si="1"/>
        <v>0.2222222222</v>
      </c>
      <c r="F7" s="7">
        <v>0.0</v>
      </c>
      <c r="G7" s="7">
        <v>0.0</v>
      </c>
      <c r="H7" s="7">
        <v>0.0</v>
      </c>
      <c r="I7" s="7">
        <v>0.0</v>
      </c>
      <c r="J7" s="7">
        <v>1.0</v>
      </c>
      <c r="K7" s="9">
        <v>0.0</v>
      </c>
      <c r="L7" s="7">
        <v>0.0</v>
      </c>
      <c r="M7" s="7">
        <v>3.0</v>
      </c>
      <c r="N7" s="10">
        <f t="shared" si="2"/>
        <v>3</v>
      </c>
      <c r="O7" s="7">
        <v>0.0</v>
      </c>
      <c r="P7" s="7">
        <v>0.0</v>
      </c>
      <c r="Q7" s="7">
        <v>0.0</v>
      </c>
      <c r="R7" s="7">
        <v>2.0</v>
      </c>
      <c r="S7" s="7">
        <v>1.0</v>
      </c>
    </row>
    <row r="8">
      <c r="A8" s="5">
        <v>3.0</v>
      </c>
      <c r="B8" s="6">
        <v>2.0</v>
      </c>
      <c r="C8" s="7">
        <v>2.0</v>
      </c>
      <c r="D8" s="7">
        <v>2.0</v>
      </c>
      <c r="E8" s="8">
        <f t="shared" si="1"/>
        <v>1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9">
        <v>0.0</v>
      </c>
      <c r="L8" s="7">
        <v>2.0</v>
      </c>
      <c r="M8" s="7">
        <v>0.0</v>
      </c>
      <c r="N8" s="10">
        <f t="shared" si="2"/>
        <v>2</v>
      </c>
      <c r="O8" s="7">
        <v>0.0</v>
      </c>
      <c r="P8" s="7">
        <v>0.0</v>
      </c>
      <c r="Q8" s="7">
        <v>0.0</v>
      </c>
      <c r="R8" s="7">
        <v>1.0</v>
      </c>
      <c r="S8" s="7">
        <v>0.0</v>
      </c>
    </row>
    <row r="9">
      <c r="A9" s="5">
        <v>4.0</v>
      </c>
      <c r="B9" s="6">
        <v>0.0</v>
      </c>
      <c r="C9" s="7">
        <v>0.0</v>
      </c>
      <c r="D9" s="7">
        <v>0.0</v>
      </c>
      <c r="E9" s="9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9">
        <v>0.0</v>
      </c>
      <c r="L9" s="7">
        <v>0.0</v>
      </c>
      <c r="M9" s="7">
        <v>1.0</v>
      </c>
      <c r="N9" s="10">
        <f t="shared" si="2"/>
        <v>1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</row>
    <row r="10">
      <c r="A10" s="5">
        <v>5.0</v>
      </c>
      <c r="B10" s="6">
        <v>0.0</v>
      </c>
      <c r="C10" s="7">
        <v>0.0</v>
      </c>
      <c r="D10" s="7">
        <v>2.0</v>
      </c>
      <c r="E10" s="8">
        <f>C10/D10</f>
        <v>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9">
        <v>0.0</v>
      </c>
      <c r="L10" s="7">
        <v>0.0</v>
      </c>
      <c r="M10" s="7">
        <v>0.0</v>
      </c>
      <c r="N10" s="10">
        <f t="shared" si="2"/>
        <v>0</v>
      </c>
      <c r="O10" s="7">
        <v>0.0</v>
      </c>
      <c r="P10" s="7">
        <v>1.0</v>
      </c>
      <c r="Q10" s="7">
        <v>0.0</v>
      </c>
      <c r="R10" s="7">
        <v>1.0</v>
      </c>
      <c r="S10" s="7">
        <v>0.0</v>
      </c>
    </row>
    <row r="11">
      <c r="A11" s="6" t="s">
        <v>20</v>
      </c>
      <c r="B11" s="11">
        <f t="shared" ref="B11:D11" si="3">SUM(B6:B10)</f>
        <v>6</v>
      </c>
      <c r="C11" s="11">
        <f t="shared" si="3"/>
        <v>6</v>
      </c>
      <c r="D11" s="11">
        <f t="shared" si="3"/>
        <v>16</v>
      </c>
      <c r="E11" s="12">
        <f>AVERAGE(E6:E10)</f>
        <v>0.3777777778</v>
      </c>
      <c r="F11" s="13">
        <v>0.0</v>
      </c>
      <c r="G11" s="13">
        <v>0.0</v>
      </c>
      <c r="H11" s="12">
        <f>AVERAGE(H6:H10)</f>
        <v>0</v>
      </c>
      <c r="I11" s="13">
        <v>0.0</v>
      </c>
      <c r="J11" s="13">
        <v>0.0</v>
      </c>
      <c r="K11" s="12">
        <f>AVERAGE(K6:K10)</f>
        <v>0</v>
      </c>
      <c r="L11" s="11">
        <f t="shared" ref="L11:S11" si="4">SUM(L6:L10)</f>
        <v>5</v>
      </c>
      <c r="M11" s="11">
        <f t="shared" si="4"/>
        <v>7</v>
      </c>
      <c r="N11" s="11">
        <f t="shared" si="4"/>
        <v>12</v>
      </c>
      <c r="O11" s="11">
        <f t="shared" si="4"/>
        <v>0</v>
      </c>
      <c r="P11" s="11">
        <f t="shared" si="4"/>
        <v>2</v>
      </c>
      <c r="Q11" s="11">
        <f t="shared" si="4"/>
        <v>0</v>
      </c>
      <c r="R11" s="11">
        <f t="shared" si="4"/>
        <v>6</v>
      </c>
      <c r="S11" s="11">
        <f t="shared" si="4"/>
        <v>1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4"/>
      <c r="P12" s="2"/>
      <c r="Q12" s="2"/>
      <c r="R12" s="2"/>
      <c r="S12" s="2"/>
    </row>
    <row r="13">
      <c r="A13" s="15" t="s">
        <v>29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16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  <c r="K14" s="4" t="s">
        <v>11</v>
      </c>
      <c r="L14" s="4" t="s">
        <v>12</v>
      </c>
      <c r="M14" s="4" t="s">
        <v>13</v>
      </c>
      <c r="N14" s="4" t="s">
        <v>14</v>
      </c>
      <c r="O14" s="4" t="s">
        <v>15</v>
      </c>
      <c r="P14" s="4" t="s">
        <v>16</v>
      </c>
      <c r="Q14" s="4" t="s">
        <v>17</v>
      </c>
      <c r="R14" s="4" t="s">
        <v>18</v>
      </c>
      <c r="S14" s="4" t="s">
        <v>19</v>
      </c>
    </row>
    <row r="15">
      <c r="A15" s="5">
        <v>1.0</v>
      </c>
      <c r="B15" s="6">
        <v>5.0</v>
      </c>
      <c r="C15" s="7">
        <v>3.0</v>
      </c>
      <c r="D15" s="7">
        <v>19.0</v>
      </c>
      <c r="E15" s="8">
        <f t="shared" ref="E15:E17" si="5">C15/D15</f>
        <v>0.1578947368</v>
      </c>
      <c r="F15" s="7">
        <v>2.0</v>
      </c>
      <c r="G15" s="7">
        <v>10.0</v>
      </c>
      <c r="H15" s="9">
        <v>0.0</v>
      </c>
      <c r="I15" s="7">
        <v>0.0</v>
      </c>
      <c r="J15" s="7">
        <v>0.0</v>
      </c>
      <c r="K15" s="9">
        <v>0.0</v>
      </c>
      <c r="L15" s="7">
        <v>0.0</v>
      </c>
      <c r="M15" s="7">
        <v>1.0</v>
      </c>
      <c r="N15" s="10">
        <f t="shared" ref="N15:N18" si="6">L15+M15</f>
        <v>1</v>
      </c>
      <c r="O15" s="7">
        <v>1.0</v>
      </c>
      <c r="P15" s="7">
        <v>2.0</v>
      </c>
      <c r="Q15" s="7">
        <v>0.0</v>
      </c>
      <c r="R15" s="7">
        <v>1.0</v>
      </c>
      <c r="S15" s="7">
        <v>1.0</v>
      </c>
    </row>
    <row r="16">
      <c r="A16" s="5">
        <v>2.0</v>
      </c>
      <c r="B16" s="6">
        <v>1.0</v>
      </c>
      <c r="C16" s="7">
        <v>1.0</v>
      </c>
      <c r="D16" s="7">
        <v>3.0</v>
      </c>
      <c r="E16" s="8">
        <f t="shared" si="5"/>
        <v>0.3333333333</v>
      </c>
      <c r="F16" s="7">
        <v>0.0</v>
      </c>
      <c r="G16" s="7">
        <v>1.0</v>
      </c>
      <c r="H16" s="9">
        <v>0.0</v>
      </c>
      <c r="I16" s="7">
        <v>0.0</v>
      </c>
      <c r="J16" s="7">
        <v>0.0</v>
      </c>
      <c r="K16" s="9">
        <v>0.0</v>
      </c>
      <c r="L16" s="7">
        <v>0.0</v>
      </c>
      <c r="M16" s="7">
        <v>4.0</v>
      </c>
      <c r="N16" s="10">
        <f t="shared" si="6"/>
        <v>4</v>
      </c>
      <c r="O16" s="7">
        <v>1.0</v>
      </c>
      <c r="P16" s="7">
        <v>0.0</v>
      </c>
      <c r="Q16" s="7">
        <v>0.0</v>
      </c>
      <c r="R16" s="7">
        <v>2.0</v>
      </c>
      <c r="S16" s="7">
        <v>0.0</v>
      </c>
    </row>
    <row r="17">
      <c r="A17" s="5">
        <v>3.0</v>
      </c>
      <c r="B17" s="6">
        <v>1.0</v>
      </c>
      <c r="C17" s="7">
        <v>1.0</v>
      </c>
      <c r="D17" s="7">
        <v>3.0</v>
      </c>
      <c r="E17" s="8">
        <f t="shared" si="5"/>
        <v>0.3333333333</v>
      </c>
      <c r="F17" s="7">
        <v>0.0</v>
      </c>
      <c r="G17" s="7">
        <v>0.0</v>
      </c>
      <c r="H17" s="9">
        <v>0.0</v>
      </c>
      <c r="I17" s="7">
        <v>0.0</v>
      </c>
      <c r="J17" s="7">
        <v>0.0</v>
      </c>
      <c r="K17" s="9">
        <v>0.0</v>
      </c>
      <c r="L17" s="7">
        <v>2.0</v>
      </c>
      <c r="M17" s="7">
        <v>1.0</v>
      </c>
      <c r="N17" s="10">
        <f t="shared" si="6"/>
        <v>3</v>
      </c>
      <c r="O17" s="7">
        <v>1.0</v>
      </c>
      <c r="P17" s="7">
        <v>1.0</v>
      </c>
      <c r="Q17" s="7">
        <v>3.0</v>
      </c>
      <c r="R17" s="7">
        <v>1.0</v>
      </c>
      <c r="S17" s="7">
        <v>1.0</v>
      </c>
    </row>
    <row r="18">
      <c r="A18" s="5">
        <v>4.0</v>
      </c>
      <c r="B18" s="6">
        <v>0.0</v>
      </c>
      <c r="C18" s="7">
        <v>0.0</v>
      </c>
      <c r="D18" s="7">
        <v>0.0</v>
      </c>
      <c r="E18" s="9">
        <v>0.0</v>
      </c>
      <c r="F18" s="7">
        <v>0.0</v>
      </c>
      <c r="G18" s="7">
        <v>0.0</v>
      </c>
      <c r="H18" s="9">
        <v>0.0</v>
      </c>
      <c r="I18" s="7">
        <v>0.0</v>
      </c>
      <c r="J18" s="7">
        <v>0.0</v>
      </c>
      <c r="K18" s="9">
        <v>0.0</v>
      </c>
      <c r="L18" s="7">
        <v>0.0</v>
      </c>
      <c r="M18" s="7">
        <v>1.0</v>
      </c>
      <c r="N18" s="10">
        <f t="shared" si="6"/>
        <v>1</v>
      </c>
      <c r="O18" s="7">
        <v>0.0</v>
      </c>
      <c r="P18" s="7">
        <v>0.0</v>
      </c>
      <c r="Q18" s="7">
        <v>0.0</v>
      </c>
      <c r="R18" s="7">
        <v>1.0</v>
      </c>
      <c r="S18" s="7">
        <v>0.0</v>
      </c>
    </row>
    <row r="19">
      <c r="A19" s="6" t="s">
        <v>20</v>
      </c>
      <c r="B19" s="11">
        <f t="shared" ref="B19:D19" si="7">SUM(B14:B18)</f>
        <v>7</v>
      </c>
      <c r="C19" s="11">
        <f t="shared" si="7"/>
        <v>5</v>
      </c>
      <c r="D19" s="11">
        <f t="shared" si="7"/>
        <v>25</v>
      </c>
      <c r="E19" s="12">
        <f>AVERAGE(E14:E18)</f>
        <v>0.2061403509</v>
      </c>
      <c r="F19" s="13">
        <v>0.0</v>
      </c>
      <c r="G19" s="13">
        <v>0.0</v>
      </c>
      <c r="H19" s="12">
        <f>AVERAGE(H14:H18)</f>
        <v>0</v>
      </c>
      <c r="I19" s="13">
        <v>0.0</v>
      </c>
      <c r="J19" s="13">
        <v>0.0</v>
      </c>
      <c r="K19" s="12">
        <f>AVERAGE(K14:K18)</f>
        <v>0</v>
      </c>
      <c r="L19" s="11">
        <f t="shared" ref="L19:S19" si="8">SUM(L14:L18)</f>
        <v>2</v>
      </c>
      <c r="M19" s="11">
        <f t="shared" si="8"/>
        <v>7</v>
      </c>
      <c r="N19" s="11">
        <f t="shared" si="8"/>
        <v>9</v>
      </c>
      <c r="O19" s="11">
        <f t="shared" si="8"/>
        <v>3</v>
      </c>
      <c r="P19" s="11">
        <f t="shared" si="8"/>
        <v>3</v>
      </c>
      <c r="Q19" s="11">
        <f t="shared" si="8"/>
        <v>3</v>
      </c>
      <c r="R19" s="11">
        <f t="shared" si="8"/>
        <v>5</v>
      </c>
      <c r="S19" s="11">
        <f t="shared" si="8"/>
        <v>2</v>
      </c>
    </row>
    <row r="21">
      <c r="U21" s="17" t="s">
        <v>22</v>
      </c>
      <c r="V21" s="18" t="s">
        <v>29</v>
      </c>
    </row>
    <row r="22">
      <c r="U22" s="17" t="s">
        <v>23</v>
      </c>
      <c r="V22" s="18" t="s">
        <v>28</v>
      </c>
    </row>
    <row r="23">
      <c r="U23" s="17" t="s">
        <v>24</v>
      </c>
      <c r="V23" s="18" t="s">
        <v>34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14.88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7.7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  <col customWidth="1" min="22" max="22" width="16.25"/>
  </cols>
  <sheetData>
    <row r="4">
      <c r="A4" s="1" t="s">
        <v>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1.0</v>
      </c>
      <c r="C6" s="7">
        <v>1.0</v>
      </c>
      <c r="D6" s="7">
        <v>11.0</v>
      </c>
      <c r="E6" s="8">
        <f t="shared" ref="E6:E7" si="1">C6/D6</f>
        <v>0.09090909091</v>
      </c>
      <c r="F6" s="7">
        <v>0.0</v>
      </c>
      <c r="G6" s="7">
        <v>0.0</v>
      </c>
      <c r="H6" s="9">
        <v>0.0</v>
      </c>
      <c r="I6" s="7">
        <v>0.0</v>
      </c>
      <c r="J6" s="7">
        <v>0.0</v>
      </c>
      <c r="K6" s="9">
        <v>0.0</v>
      </c>
      <c r="L6" s="7">
        <v>1.0</v>
      </c>
      <c r="M6" s="7">
        <v>3.0</v>
      </c>
      <c r="N6" s="10">
        <f t="shared" ref="N6:N10" si="2">sum(L6+M6)</f>
        <v>4</v>
      </c>
      <c r="O6" s="7">
        <v>0.0</v>
      </c>
      <c r="P6" s="7">
        <v>2.0</v>
      </c>
      <c r="Q6" s="7">
        <v>1.0</v>
      </c>
      <c r="R6" s="7">
        <v>2.0</v>
      </c>
      <c r="S6" s="7">
        <v>0.0</v>
      </c>
    </row>
    <row r="7">
      <c r="A7" s="5">
        <v>12.0</v>
      </c>
      <c r="B7" s="6">
        <v>3.0</v>
      </c>
      <c r="C7" s="7">
        <v>2.0</v>
      </c>
      <c r="D7" s="7">
        <v>9.0</v>
      </c>
      <c r="E7" s="8">
        <f t="shared" si="1"/>
        <v>0.2222222222</v>
      </c>
      <c r="F7" s="7">
        <v>0.0</v>
      </c>
      <c r="G7" s="7">
        <v>0.0</v>
      </c>
      <c r="H7" s="9">
        <v>0.0</v>
      </c>
      <c r="I7" s="7">
        <v>1.0</v>
      </c>
      <c r="J7" s="7">
        <v>1.0</v>
      </c>
      <c r="K7" s="8">
        <f>I7/J7</f>
        <v>1</v>
      </c>
      <c r="L7" s="7">
        <v>4.0</v>
      </c>
      <c r="M7" s="7">
        <v>8.0</v>
      </c>
      <c r="N7" s="10">
        <f t="shared" si="2"/>
        <v>12</v>
      </c>
      <c r="O7" s="7">
        <v>2.0</v>
      </c>
      <c r="P7" s="7">
        <v>1.0</v>
      </c>
      <c r="Q7" s="7">
        <v>0.0</v>
      </c>
      <c r="R7" s="7">
        <v>2.0</v>
      </c>
      <c r="S7" s="7">
        <v>1.0</v>
      </c>
    </row>
    <row r="8">
      <c r="A8" s="5">
        <v>3.0</v>
      </c>
      <c r="B8" s="6">
        <v>0.0</v>
      </c>
      <c r="C8" s="7">
        <v>0.0</v>
      </c>
      <c r="D8" s="7">
        <v>0.0</v>
      </c>
      <c r="E8" s="9">
        <v>0.0</v>
      </c>
      <c r="F8" s="7">
        <v>0.0</v>
      </c>
      <c r="G8" s="7">
        <v>0.0</v>
      </c>
      <c r="H8" s="9">
        <v>0.0</v>
      </c>
      <c r="I8" s="7">
        <v>0.0</v>
      </c>
      <c r="J8" s="7">
        <v>0.0</v>
      </c>
      <c r="K8" s="9">
        <v>0.0</v>
      </c>
      <c r="L8" s="7">
        <v>0.0</v>
      </c>
      <c r="M8" s="7">
        <v>0.0</v>
      </c>
      <c r="N8" s="10">
        <f t="shared" si="2"/>
        <v>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</row>
    <row r="9">
      <c r="A9" s="5">
        <v>4.0</v>
      </c>
      <c r="B9" s="6">
        <v>0.0</v>
      </c>
      <c r="C9" s="7">
        <v>0.0</v>
      </c>
      <c r="D9" s="7">
        <v>1.0</v>
      </c>
      <c r="E9" s="8">
        <f t="shared" ref="E9:E10" si="3">C9/D9</f>
        <v>0</v>
      </c>
      <c r="F9" s="7">
        <v>0.0</v>
      </c>
      <c r="G9" s="7">
        <v>0.0</v>
      </c>
      <c r="H9" s="9">
        <v>0.0</v>
      </c>
      <c r="I9" s="7">
        <v>0.0</v>
      </c>
      <c r="J9" s="7">
        <v>0.0</v>
      </c>
      <c r="K9" s="9">
        <v>0.0</v>
      </c>
      <c r="L9" s="7">
        <v>2.0</v>
      </c>
      <c r="M9" s="7">
        <v>0.0</v>
      </c>
      <c r="N9" s="10">
        <f t="shared" si="2"/>
        <v>2</v>
      </c>
      <c r="O9" s="7">
        <v>0.0</v>
      </c>
      <c r="P9" s="7">
        <v>1.0</v>
      </c>
      <c r="Q9" s="7">
        <v>0.0</v>
      </c>
      <c r="R9" s="7">
        <v>0.0</v>
      </c>
      <c r="S9" s="7">
        <v>0.0</v>
      </c>
    </row>
    <row r="10">
      <c r="A10" s="5">
        <v>7.0</v>
      </c>
      <c r="B10" s="6">
        <v>2.0</v>
      </c>
      <c r="C10" s="7">
        <v>2.0</v>
      </c>
      <c r="D10" s="7">
        <v>2.0</v>
      </c>
      <c r="E10" s="8">
        <f t="shared" si="3"/>
        <v>1</v>
      </c>
      <c r="F10" s="7">
        <v>0.0</v>
      </c>
      <c r="G10" s="7">
        <v>0.0</v>
      </c>
      <c r="H10" s="9">
        <v>0.0</v>
      </c>
      <c r="I10" s="7">
        <v>0.0</v>
      </c>
      <c r="J10" s="7">
        <v>0.0</v>
      </c>
      <c r="K10" s="9">
        <v>0.0</v>
      </c>
      <c r="L10" s="7">
        <v>0.0</v>
      </c>
      <c r="M10" s="7">
        <v>0.0</v>
      </c>
      <c r="N10" s="10">
        <f t="shared" si="2"/>
        <v>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</row>
    <row r="11">
      <c r="A11" s="6" t="s">
        <v>20</v>
      </c>
      <c r="B11" s="11">
        <f t="shared" ref="B11:D11" si="4">SUM(B6:B10)</f>
        <v>6</v>
      </c>
      <c r="C11" s="11">
        <f t="shared" si="4"/>
        <v>5</v>
      </c>
      <c r="D11" s="11">
        <f t="shared" si="4"/>
        <v>23</v>
      </c>
      <c r="E11" s="12">
        <f>AVERAGE(E6:E10)</f>
        <v>0.2626262626</v>
      </c>
      <c r="F11" s="13">
        <v>0.0</v>
      </c>
      <c r="G11" s="13">
        <v>0.0</v>
      </c>
      <c r="H11" s="12">
        <f>AVERAGE(H6:H10)</f>
        <v>0</v>
      </c>
      <c r="I11" s="13">
        <v>0.0</v>
      </c>
      <c r="J11" s="13">
        <v>0.0</v>
      </c>
      <c r="K11" s="12">
        <f>AVERAGE(K6:K10)</f>
        <v>0.2</v>
      </c>
      <c r="L11" s="11">
        <f t="shared" ref="L11:S11" si="5">SUM(L6:L10)</f>
        <v>7</v>
      </c>
      <c r="M11" s="11">
        <f t="shared" si="5"/>
        <v>11</v>
      </c>
      <c r="N11" s="11">
        <f t="shared" si="5"/>
        <v>18</v>
      </c>
      <c r="O11" s="11">
        <f t="shared" si="5"/>
        <v>2</v>
      </c>
      <c r="P11" s="11">
        <f t="shared" si="5"/>
        <v>4</v>
      </c>
      <c r="Q11" s="11">
        <f t="shared" si="5"/>
        <v>1</v>
      </c>
      <c r="R11" s="11">
        <f t="shared" si="5"/>
        <v>4</v>
      </c>
      <c r="S11" s="11">
        <f t="shared" si="5"/>
        <v>1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4"/>
      <c r="P12" s="2"/>
      <c r="Q12" s="2"/>
      <c r="R12" s="2"/>
      <c r="S12" s="2"/>
    </row>
    <row r="13">
      <c r="A13" s="15" t="s">
        <v>27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16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  <c r="K14" s="4" t="s">
        <v>11</v>
      </c>
      <c r="L14" s="4" t="s">
        <v>12</v>
      </c>
      <c r="M14" s="4" t="s">
        <v>13</v>
      </c>
      <c r="N14" s="4" t="s">
        <v>14</v>
      </c>
      <c r="O14" s="4" t="s">
        <v>15</v>
      </c>
      <c r="P14" s="4" t="s">
        <v>16</v>
      </c>
      <c r="Q14" s="4" t="s">
        <v>17</v>
      </c>
      <c r="R14" s="4" t="s">
        <v>18</v>
      </c>
      <c r="S14" s="4" t="s">
        <v>19</v>
      </c>
    </row>
    <row r="15">
      <c r="A15" s="5">
        <v>11.0</v>
      </c>
      <c r="B15" s="6">
        <v>1.0</v>
      </c>
      <c r="C15" s="7">
        <v>1.0</v>
      </c>
      <c r="D15" s="7">
        <v>10.0</v>
      </c>
      <c r="E15" s="8">
        <f t="shared" ref="E15:E17" si="6">C15/D15</f>
        <v>0.1</v>
      </c>
      <c r="F15" s="7">
        <v>0.0</v>
      </c>
      <c r="G15" s="7">
        <v>0.0</v>
      </c>
      <c r="H15" s="9">
        <v>0.0</v>
      </c>
      <c r="I15" s="7">
        <v>0.0</v>
      </c>
      <c r="J15" s="7">
        <v>0.0</v>
      </c>
      <c r="K15" s="9">
        <v>0.0</v>
      </c>
      <c r="L15" s="7">
        <v>0.0</v>
      </c>
      <c r="M15" s="7">
        <v>3.0</v>
      </c>
      <c r="N15" s="10">
        <f t="shared" ref="N15:N17" si="7">sum(L15+M15)</f>
        <v>3</v>
      </c>
      <c r="O15" s="7">
        <v>2.0</v>
      </c>
      <c r="P15" s="7">
        <v>1.0</v>
      </c>
      <c r="Q15" s="7">
        <v>0.0</v>
      </c>
      <c r="R15" s="7">
        <v>3.0</v>
      </c>
      <c r="S15" s="7">
        <v>1.0</v>
      </c>
    </row>
    <row r="16">
      <c r="A16" s="5">
        <v>8.0</v>
      </c>
      <c r="B16" s="6">
        <v>1.0</v>
      </c>
      <c r="C16" s="7">
        <v>1.0</v>
      </c>
      <c r="D16" s="7">
        <v>5.0</v>
      </c>
      <c r="E16" s="8">
        <f t="shared" si="6"/>
        <v>0.2</v>
      </c>
      <c r="F16" s="7">
        <v>0.0</v>
      </c>
      <c r="G16" s="7">
        <v>1.0</v>
      </c>
      <c r="H16" s="9">
        <v>0.0</v>
      </c>
      <c r="I16" s="7">
        <v>0.0</v>
      </c>
      <c r="J16" s="7">
        <v>0.0</v>
      </c>
      <c r="K16" s="9">
        <v>0.0</v>
      </c>
      <c r="L16" s="7">
        <v>1.0</v>
      </c>
      <c r="M16" s="7">
        <v>1.0</v>
      </c>
      <c r="N16" s="10">
        <f t="shared" si="7"/>
        <v>2</v>
      </c>
      <c r="O16" s="7">
        <v>0.0</v>
      </c>
      <c r="P16" s="7">
        <v>0.0</v>
      </c>
      <c r="Q16" s="7">
        <v>0.0</v>
      </c>
      <c r="R16" s="7">
        <v>2.0</v>
      </c>
      <c r="S16" s="7">
        <v>2.0</v>
      </c>
    </row>
    <row r="17">
      <c r="A17" s="5">
        <v>10.0</v>
      </c>
      <c r="B17" s="6">
        <v>1.0</v>
      </c>
      <c r="C17" s="7">
        <v>1.0</v>
      </c>
      <c r="D17" s="7">
        <v>4.0</v>
      </c>
      <c r="E17" s="8">
        <f t="shared" si="6"/>
        <v>0.25</v>
      </c>
      <c r="F17" s="7">
        <v>0.0</v>
      </c>
      <c r="G17" s="7">
        <v>0.0</v>
      </c>
      <c r="H17" s="9">
        <v>0.0</v>
      </c>
      <c r="I17" s="7">
        <v>0.0</v>
      </c>
      <c r="J17" s="7">
        <v>0.0</v>
      </c>
      <c r="K17" s="9">
        <v>0.0</v>
      </c>
      <c r="L17" s="7">
        <v>0.0</v>
      </c>
      <c r="M17" s="7">
        <v>5.0</v>
      </c>
      <c r="N17" s="10">
        <f t="shared" si="7"/>
        <v>5</v>
      </c>
      <c r="O17" s="7">
        <v>0.0</v>
      </c>
      <c r="P17" s="7">
        <v>3.0</v>
      </c>
      <c r="Q17" s="7">
        <v>0.0</v>
      </c>
      <c r="R17" s="7">
        <v>1.0</v>
      </c>
      <c r="S17" s="7">
        <v>0.0</v>
      </c>
    </row>
    <row r="18">
      <c r="A18" s="6" t="s">
        <v>20</v>
      </c>
      <c r="B18" s="11">
        <f t="shared" ref="B18:D18" si="8">SUM(B13:B17)</f>
        <v>3</v>
      </c>
      <c r="C18" s="11">
        <f t="shared" si="8"/>
        <v>3</v>
      </c>
      <c r="D18" s="11">
        <f t="shared" si="8"/>
        <v>19</v>
      </c>
      <c r="E18" s="12">
        <f>AVERAGE(E13:E17)</f>
        <v>0.1833333333</v>
      </c>
      <c r="F18" s="26">
        <v>0.0</v>
      </c>
      <c r="G18" s="26">
        <v>0.0</v>
      </c>
      <c r="H18" s="12">
        <f>AVERAGE(H13:H17)</f>
        <v>0</v>
      </c>
      <c r="I18" s="26">
        <v>0.0</v>
      </c>
      <c r="J18" s="26">
        <v>0.0</v>
      </c>
      <c r="K18" s="12">
        <f>AVERAGE(K13:K17)</f>
        <v>0</v>
      </c>
      <c r="L18" s="11">
        <f t="shared" ref="L18:S18" si="9">SUM(L13:L17)</f>
        <v>1</v>
      </c>
      <c r="M18" s="11">
        <f t="shared" si="9"/>
        <v>9</v>
      </c>
      <c r="N18" s="11">
        <f t="shared" si="9"/>
        <v>10</v>
      </c>
      <c r="O18" s="11">
        <f t="shared" si="9"/>
        <v>2</v>
      </c>
      <c r="P18" s="11">
        <f t="shared" si="9"/>
        <v>4</v>
      </c>
      <c r="Q18" s="11">
        <f t="shared" si="9"/>
        <v>0</v>
      </c>
      <c r="R18" s="11">
        <f t="shared" si="9"/>
        <v>6</v>
      </c>
      <c r="S18" s="11">
        <f t="shared" si="9"/>
        <v>3</v>
      </c>
    </row>
    <row r="20">
      <c r="U20" s="17" t="s">
        <v>22</v>
      </c>
      <c r="V20" s="18" t="s">
        <v>0</v>
      </c>
    </row>
    <row r="21">
      <c r="U21" s="17" t="s">
        <v>23</v>
      </c>
      <c r="V21" s="18" t="s">
        <v>27</v>
      </c>
    </row>
    <row r="22">
      <c r="U22" s="17" t="s">
        <v>24</v>
      </c>
      <c r="V22" s="18" t="s">
        <v>35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63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  <col customWidth="1" min="22" max="22" width="16.25"/>
  </cols>
  <sheetData>
    <row r="4">
      <c r="A4" s="1" t="s">
        <v>30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4.0</v>
      </c>
      <c r="C6" s="7">
        <v>2.0</v>
      </c>
      <c r="D6" s="7">
        <v>11.0</v>
      </c>
      <c r="E6" s="8">
        <f t="shared" ref="E6:E8" si="1">C6/D6</f>
        <v>0.1818181818</v>
      </c>
      <c r="F6" s="7">
        <v>2.0</v>
      </c>
      <c r="G6" s="7">
        <v>6.0</v>
      </c>
      <c r="H6" s="8">
        <f>F6/G6</f>
        <v>0.3333333333</v>
      </c>
      <c r="I6" s="7">
        <v>0.0</v>
      </c>
      <c r="J6" s="7">
        <v>2.0</v>
      </c>
      <c r="K6" s="9">
        <v>0.0</v>
      </c>
      <c r="L6" s="7">
        <v>1.0</v>
      </c>
      <c r="M6" s="7">
        <v>3.0</v>
      </c>
      <c r="N6" s="10">
        <f t="shared" ref="N6:N8" si="2">L6+M6</f>
        <v>4</v>
      </c>
      <c r="O6" s="7">
        <v>0.0</v>
      </c>
      <c r="P6" s="7">
        <v>1.0</v>
      </c>
      <c r="Q6" s="7">
        <v>0.0</v>
      </c>
      <c r="R6" s="7">
        <v>1.0</v>
      </c>
      <c r="S6" s="7">
        <v>0.0</v>
      </c>
    </row>
    <row r="7">
      <c r="A7" s="5">
        <v>2.0</v>
      </c>
      <c r="B7" s="6">
        <v>2.0</v>
      </c>
      <c r="C7" s="7">
        <v>2.0</v>
      </c>
      <c r="D7" s="7">
        <v>7.0</v>
      </c>
      <c r="E7" s="8">
        <f t="shared" si="1"/>
        <v>0.2857142857</v>
      </c>
      <c r="F7" s="7">
        <v>0.0</v>
      </c>
      <c r="G7" s="7">
        <v>1.0</v>
      </c>
      <c r="H7" s="9">
        <v>0.0</v>
      </c>
      <c r="I7" s="7">
        <v>0.0</v>
      </c>
      <c r="J7" s="7">
        <v>0.0</v>
      </c>
      <c r="K7" s="9">
        <v>0.0</v>
      </c>
      <c r="L7" s="7">
        <v>1.0</v>
      </c>
      <c r="M7" s="7">
        <v>5.0</v>
      </c>
      <c r="N7" s="10">
        <f t="shared" si="2"/>
        <v>6</v>
      </c>
      <c r="O7" s="7">
        <v>2.0</v>
      </c>
      <c r="P7" s="7">
        <v>0.0</v>
      </c>
      <c r="Q7" s="7">
        <v>0.0</v>
      </c>
      <c r="R7" s="7">
        <v>2.0</v>
      </c>
      <c r="S7" s="7">
        <v>2.0</v>
      </c>
    </row>
    <row r="8">
      <c r="A8" s="5">
        <v>3.0</v>
      </c>
      <c r="B8" s="6">
        <v>0.0</v>
      </c>
      <c r="C8" s="7">
        <v>0.0</v>
      </c>
      <c r="D8" s="7">
        <v>1.0</v>
      </c>
      <c r="E8" s="8">
        <f t="shared" si="1"/>
        <v>0</v>
      </c>
      <c r="F8" s="7">
        <v>0.0</v>
      </c>
      <c r="G8" s="7">
        <v>0.0</v>
      </c>
      <c r="H8" s="9">
        <v>0.0</v>
      </c>
      <c r="I8" s="7">
        <v>0.0</v>
      </c>
      <c r="J8" s="7">
        <v>0.0</v>
      </c>
      <c r="K8" s="9">
        <v>0.0</v>
      </c>
      <c r="L8" s="7">
        <v>0.0</v>
      </c>
      <c r="M8" s="7">
        <v>2.0</v>
      </c>
      <c r="N8" s="10">
        <f t="shared" si="2"/>
        <v>2</v>
      </c>
      <c r="O8" s="7">
        <v>0.0</v>
      </c>
      <c r="P8" s="7">
        <v>0.0</v>
      </c>
      <c r="Q8" s="7">
        <v>0.0</v>
      </c>
      <c r="R8" s="7">
        <v>2.0</v>
      </c>
      <c r="S8" s="7">
        <v>1.0</v>
      </c>
    </row>
    <row r="9">
      <c r="A9" s="6" t="s">
        <v>20</v>
      </c>
      <c r="B9" s="11">
        <f t="shared" ref="B9:D9" si="3">SUM(B4:B8)</f>
        <v>6</v>
      </c>
      <c r="C9" s="11">
        <f t="shared" si="3"/>
        <v>4</v>
      </c>
      <c r="D9" s="11">
        <f t="shared" si="3"/>
        <v>19</v>
      </c>
      <c r="E9" s="12">
        <f>AVERAGE(E4:E8)</f>
        <v>0.1558441558</v>
      </c>
      <c r="F9" s="11">
        <v>0.0</v>
      </c>
      <c r="G9" s="11">
        <v>0.0</v>
      </c>
      <c r="H9" s="12">
        <f>AVERAGE(H4:H8)</f>
        <v>0.1111111111</v>
      </c>
      <c r="I9" s="26">
        <v>0.0</v>
      </c>
      <c r="J9" s="26">
        <v>0.0</v>
      </c>
      <c r="K9" s="12">
        <f>AVERAGE(K4:K8)</f>
        <v>0</v>
      </c>
      <c r="L9" s="11">
        <f t="shared" ref="L9:S9" si="4">SUM(L4:L8)</f>
        <v>2</v>
      </c>
      <c r="M9" s="11">
        <f t="shared" si="4"/>
        <v>10</v>
      </c>
      <c r="N9" s="11">
        <f t="shared" si="4"/>
        <v>12</v>
      </c>
      <c r="O9" s="11">
        <f t="shared" si="4"/>
        <v>2</v>
      </c>
      <c r="P9" s="11">
        <f t="shared" si="4"/>
        <v>1</v>
      </c>
      <c r="Q9" s="11">
        <f t="shared" si="4"/>
        <v>0</v>
      </c>
      <c r="R9" s="11">
        <f t="shared" si="4"/>
        <v>5</v>
      </c>
      <c r="S9" s="11">
        <f t="shared" si="4"/>
        <v>3</v>
      </c>
    </row>
    <row r="10">
      <c r="A10" s="2"/>
      <c r="B10" s="2"/>
      <c r="C10" s="2"/>
      <c r="D10" s="2"/>
      <c r="E10" s="2"/>
      <c r="F10" s="14"/>
      <c r="G10" s="2"/>
      <c r="H10" s="2"/>
      <c r="I10" s="2"/>
      <c r="J10" s="2"/>
      <c r="K10" s="2"/>
      <c r="L10" s="2"/>
      <c r="M10" s="2"/>
      <c r="N10" s="2"/>
      <c r="O10" s="14"/>
      <c r="P10" s="2"/>
      <c r="Q10" s="2"/>
      <c r="R10" s="2"/>
      <c r="S10" s="2"/>
    </row>
    <row r="11">
      <c r="A11" s="15" t="s">
        <v>29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6" t="s">
        <v>1</v>
      </c>
      <c r="B12" s="4" t="s">
        <v>2</v>
      </c>
      <c r="C12" s="4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  <c r="J12" s="4" t="s">
        <v>10</v>
      </c>
      <c r="K12" s="4" t="s">
        <v>11</v>
      </c>
      <c r="L12" s="4" t="s">
        <v>12</v>
      </c>
      <c r="M12" s="4" t="s">
        <v>13</v>
      </c>
      <c r="N12" s="4" t="s">
        <v>14</v>
      </c>
      <c r="O12" s="4" t="s">
        <v>15</v>
      </c>
      <c r="P12" s="4" t="s">
        <v>16</v>
      </c>
      <c r="Q12" s="4" t="s">
        <v>17</v>
      </c>
      <c r="R12" s="4" t="s">
        <v>18</v>
      </c>
      <c r="S12" s="4" t="s">
        <v>19</v>
      </c>
    </row>
    <row r="13">
      <c r="A13" s="5">
        <v>1.0</v>
      </c>
      <c r="B13" s="6">
        <v>6.0</v>
      </c>
      <c r="C13" s="7">
        <v>5.0</v>
      </c>
      <c r="D13" s="7">
        <v>14.0</v>
      </c>
      <c r="E13" s="8">
        <f t="shared" ref="E13:E16" si="5">C13/D13</f>
        <v>0.3571428571</v>
      </c>
      <c r="F13" s="7">
        <v>2.0</v>
      </c>
      <c r="G13" s="7">
        <v>7.0</v>
      </c>
      <c r="H13" s="8">
        <f t="shared" ref="H13:H14" si="6">F13/G13</f>
        <v>0.2857142857</v>
      </c>
      <c r="I13" s="7">
        <v>0.0</v>
      </c>
      <c r="J13" s="7">
        <v>0.0</v>
      </c>
      <c r="K13" s="9">
        <v>0.0</v>
      </c>
      <c r="L13" s="7">
        <v>2.0</v>
      </c>
      <c r="M13" s="7">
        <v>7.0</v>
      </c>
      <c r="N13" s="10">
        <f t="shared" ref="N13:N16" si="7">L13+M13</f>
        <v>9</v>
      </c>
      <c r="O13" s="7">
        <v>2.0</v>
      </c>
      <c r="P13" s="7">
        <v>1.0</v>
      </c>
      <c r="Q13" s="7">
        <v>1.0</v>
      </c>
      <c r="R13" s="7">
        <v>1.0</v>
      </c>
      <c r="S13" s="7">
        <v>1.0</v>
      </c>
    </row>
    <row r="14">
      <c r="A14" s="5">
        <v>2.0</v>
      </c>
      <c r="B14" s="6">
        <v>2.0</v>
      </c>
      <c r="C14" s="7">
        <v>2.0</v>
      </c>
      <c r="D14" s="7">
        <v>5.0</v>
      </c>
      <c r="E14" s="8">
        <f t="shared" si="5"/>
        <v>0.4</v>
      </c>
      <c r="F14" s="7">
        <v>0.0</v>
      </c>
      <c r="G14" s="7">
        <v>2.0</v>
      </c>
      <c r="H14" s="8">
        <f t="shared" si="6"/>
        <v>0</v>
      </c>
      <c r="I14" s="7">
        <v>0.0</v>
      </c>
      <c r="J14" s="7">
        <v>0.0</v>
      </c>
      <c r="K14" s="9">
        <v>0.0</v>
      </c>
      <c r="L14" s="7">
        <v>2.0</v>
      </c>
      <c r="M14" s="7">
        <v>2.0</v>
      </c>
      <c r="N14" s="10">
        <f t="shared" si="7"/>
        <v>4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</row>
    <row r="15">
      <c r="A15" s="5">
        <v>3.0</v>
      </c>
      <c r="B15" s="6">
        <v>1.0</v>
      </c>
      <c r="C15" s="7">
        <v>1.0</v>
      </c>
      <c r="D15" s="7">
        <v>1.0</v>
      </c>
      <c r="E15" s="8">
        <f t="shared" si="5"/>
        <v>1</v>
      </c>
      <c r="F15" s="7">
        <v>0.0</v>
      </c>
      <c r="G15" s="7">
        <v>0.0</v>
      </c>
      <c r="H15" s="9">
        <v>0.0</v>
      </c>
      <c r="I15" s="7">
        <v>0.0</v>
      </c>
      <c r="J15" s="7">
        <v>0.0</v>
      </c>
      <c r="K15" s="9">
        <v>0.0</v>
      </c>
      <c r="L15" s="7">
        <v>0.0</v>
      </c>
      <c r="M15" s="7">
        <v>2.0</v>
      </c>
      <c r="N15" s="10">
        <f t="shared" si="7"/>
        <v>2</v>
      </c>
      <c r="O15" s="7">
        <v>0.0</v>
      </c>
      <c r="P15" s="7">
        <v>0.0</v>
      </c>
      <c r="Q15" s="7">
        <v>1.0</v>
      </c>
      <c r="R15" s="7">
        <v>0.0</v>
      </c>
      <c r="S15" s="7">
        <v>0.0</v>
      </c>
    </row>
    <row r="16">
      <c r="A16" s="19">
        <v>4.0</v>
      </c>
      <c r="B16" s="20">
        <v>2.0</v>
      </c>
      <c r="C16" s="21">
        <v>2.0</v>
      </c>
      <c r="D16" s="21">
        <v>5.0</v>
      </c>
      <c r="E16" s="8">
        <f t="shared" si="5"/>
        <v>0.4</v>
      </c>
      <c r="F16" s="21">
        <v>0.0</v>
      </c>
      <c r="G16" s="21">
        <v>0.0</v>
      </c>
      <c r="H16" s="9">
        <v>0.0</v>
      </c>
      <c r="I16" s="21">
        <v>0.0</v>
      </c>
      <c r="J16" s="21">
        <v>1.0</v>
      </c>
      <c r="K16" s="22">
        <v>0.0</v>
      </c>
      <c r="L16" s="21">
        <v>2.0</v>
      </c>
      <c r="M16" s="21">
        <v>1.0</v>
      </c>
      <c r="N16" s="10">
        <f t="shared" si="7"/>
        <v>3</v>
      </c>
      <c r="O16" s="21">
        <v>2.0</v>
      </c>
      <c r="P16" s="21">
        <v>2.0</v>
      </c>
      <c r="Q16" s="21">
        <v>0.0</v>
      </c>
      <c r="R16" s="21">
        <v>1.0</v>
      </c>
      <c r="S16" s="21">
        <v>1.0</v>
      </c>
    </row>
    <row r="17">
      <c r="A17" s="6" t="s">
        <v>20</v>
      </c>
      <c r="B17" s="11">
        <f t="shared" ref="B17:D17" si="8">SUM(B12:B16)</f>
        <v>11</v>
      </c>
      <c r="C17" s="11">
        <f t="shared" si="8"/>
        <v>10</v>
      </c>
      <c r="D17" s="11">
        <f t="shared" si="8"/>
        <v>25</v>
      </c>
      <c r="E17" s="12">
        <f>AVERAGE(E12:E16)</f>
        <v>0.5392857143</v>
      </c>
      <c r="F17" s="11">
        <v>0.0</v>
      </c>
      <c r="G17" s="11">
        <v>0.0</v>
      </c>
      <c r="H17" s="12">
        <f>AVERAGE(H12:H16)</f>
        <v>0.07142857143</v>
      </c>
      <c r="I17" s="11">
        <v>0.0</v>
      </c>
      <c r="J17" s="11">
        <v>0.0</v>
      </c>
      <c r="K17" s="12">
        <f>AVERAGE(K12:K16)</f>
        <v>0</v>
      </c>
      <c r="L17" s="11">
        <f t="shared" ref="L17:S17" si="9">SUM(L12:L16)</f>
        <v>6</v>
      </c>
      <c r="M17" s="11">
        <f t="shared" si="9"/>
        <v>12</v>
      </c>
      <c r="N17" s="11">
        <f t="shared" si="9"/>
        <v>18</v>
      </c>
      <c r="O17" s="11">
        <f t="shared" si="9"/>
        <v>4</v>
      </c>
      <c r="P17" s="11">
        <f t="shared" si="9"/>
        <v>3</v>
      </c>
      <c r="Q17" s="11">
        <f t="shared" si="9"/>
        <v>2</v>
      </c>
      <c r="R17" s="11">
        <f t="shared" si="9"/>
        <v>2</v>
      </c>
      <c r="S17" s="11">
        <f t="shared" si="9"/>
        <v>2</v>
      </c>
    </row>
    <row r="19">
      <c r="U19" s="17" t="s">
        <v>22</v>
      </c>
      <c r="V19" s="18" t="s">
        <v>29</v>
      </c>
    </row>
    <row r="20">
      <c r="U20" s="17" t="s">
        <v>23</v>
      </c>
      <c r="V20" s="18" t="s">
        <v>30</v>
      </c>
    </row>
    <row r="21">
      <c r="U21" s="17" t="s">
        <v>24</v>
      </c>
      <c r="V21" s="18" t="s">
        <v>35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63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  <col customWidth="1" min="22" max="22" width="28.13"/>
  </cols>
  <sheetData>
    <row r="4">
      <c r="A4" s="1" t="s">
        <v>30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4.0</v>
      </c>
      <c r="C6" s="7">
        <v>2.0</v>
      </c>
      <c r="D6" s="7">
        <v>11.0</v>
      </c>
      <c r="E6" s="8">
        <f t="shared" ref="E6:E8" si="1">C6/D6</f>
        <v>0.1818181818</v>
      </c>
      <c r="F6" s="7">
        <v>2.0</v>
      </c>
      <c r="G6" s="7">
        <v>5.0</v>
      </c>
      <c r="H6" s="8">
        <f>F6/G6</f>
        <v>0.4</v>
      </c>
      <c r="I6" s="7">
        <v>0.0</v>
      </c>
      <c r="J6" s="7">
        <v>2.0</v>
      </c>
      <c r="K6" s="9">
        <v>0.0</v>
      </c>
      <c r="L6" s="7">
        <v>1.0</v>
      </c>
      <c r="M6" s="7">
        <v>2.0</v>
      </c>
      <c r="N6" s="10">
        <f t="shared" ref="N6:N8" si="2">L6+M6</f>
        <v>3</v>
      </c>
      <c r="O6" s="7">
        <v>0.0</v>
      </c>
      <c r="P6" s="7">
        <v>1.0</v>
      </c>
      <c r="Q6" s="7">
        <v>0.0</v>
      </c>
      <c r="R6" s="7">
        <v>1.0</v>
      </c>
      <c r="S6" s="7">
        <v>0.0</v>
      </c>
    </row>
    <row r="7">
      <c r="A7" s="5">
        <v>2.0</v>
      </c>
      <c r="B7" s="6">
        <v>0.0</v>
      </c>
      <c r="C7" s="7">
        <v>0.0</v>
      </c>
      <c r="D7" s="7">
        <v>3.0</v>
      </c>
      <c r="E7" s="8">
        <f t="shared" si="1"/>
        <v>0</v>
      </c>
      <c r="F7" s="7">
        <v>0.0</v>
      </c>
      <c r="G7" s="7">
        <v>0.0</v>
      </c>
      <c r="H7" s="9">
        <v>0.0</v>
      </c>
      <c r="I7" s="7">
        <v>0.0</v>
      </c>
      <c r="J7" s="7">
        <v>0.0</v>
      </c>
      <c r="K7" s="9">
        <v>0.0</v>
      </c>
      <c r="L7" s="7">
        <v>1.0</v>
      </c>
      <c r="M7" s="7">
        <v>5.0</v>
      </c>
      <c r="N7" s="10">
        <f t="shared" si="2"/>
        <v>6</v>
      </c>
      <c r="O7" s="7">
        <v>2.0</v>
      </c>
      <c r="P7" s="7">
        <v>0.0</v>
      </c>
      <c r="Q7" s="7">
        <v>0.0</v>
      </c>
      <c r="R7" s="7">
        <v>2.0</v>
      </c>
      <c r="S7" s="7">
        <v>2.0</v>
      </c>
    </row>
    <row r="8">
      <c r="A8" s="5">
        <v>3.0</v>
      </c>
      <c r="B8" s="6">
        <v>0.0</v>
      </c>
      <c r="C8" s="7">
        <v>0.0</v>
      </c>
      <c r="D8" s="7">
        <v>1.0</v>
      </c>
      <c r="E8" s="8">
        <f t="shared" si="1"/>
        <v>0</v>
      </c>
      <c r="F8" s="7">
        <v>0.0</v>
      </c>
      <c r="G8" s="7">
        <v>0.0</v>
      </c>
      <c r="H8" s="9">
        <v>0.0</v>
      </c>
      <c r="I8" s="7">
        <v>0.0</v>
      </c>
      <c r="J8" s="7">
        <v>0.0</v>
      </c>
      <c r="K8" s="9">
        <v>0.0</v>
      </c>
      <c r="L8" s="7">
        <v>0.0</v>
      </c>
      <c r="M8" s="7">
        <v>1.0</v>
      </c>
      <c r="N8" s="10">
        <f t="shared" si="2"/>
        <v>1</v>
      </c>
      <c r="O8" s="7">
        <v>0.0</v>
      </c>
      <c r="P8" s="7">
        <v>0.0</v>
      </c>
      <c r="Q8" s="7">
        <v>0.0</v>
      </c>
      <c r="R8" s="7">
        <v>2.0</v>
      </c>
      <c r="S8" s="7">
        <v>1.0</v>
      </c>
    </row>
    <row r="9">
      <c r="A9" s="6" t="s">
        <v>20</v>
      </c>
      <c r="B9" s="11">
        <f t="shared" ref="B9:D9" si="3">SUM(B4:B8)</f>
        <v>4</v>
      </c>
      <c r="C9" s="11">
        <f t="shared" si="3"/>
        <v>2</v>
      </c>
      <c r="D9" s="11">
        <f t="shared" si="3"/>
        <v>15</v>
      </c>
      <c r="E9" s="12">
        <f>AVERAGE(E4:E8)</f>
        <v>0.06060606061</v>
      </c>
      <c r="F9" s="11">
        <v>0.0</v>
      </c>
      <c r="G9" s="11">
        <v>0.0</v>
      </c>
      <c r="H9" s="12">
        <f>AVERAGE(H4:H8)</f>
        <v>0.1333333333</v>
      </c>
      <c r="I9" s="26">
        <v>0.0</v>
      </c>
      <c r="J9" s="26">
        <v>0.0</v>
      </c>
      <c r="K9" s="12">
        <f>AVERAGE(K4:K8)</f>
        <v>0</v>
      </c>
      <c r="L9" s="11">
        <f t="shared" ref="L9:S9" si="4">SUM(L4:L8)</f>
        <v>2</v>
      </c>
      <c r="M9" s="11">
        <f t="shared" si="4"/>
        <v>8</v>
      </c>
      <c r="N9" s="11">
        <f t="shared" si="4"/>
        <v>10</v>
      </c>
      <c r="O9" s="11">
        <f t="shared" si="4"/>
        <v>2</v>
      </c>
      <c r="P9" s="11">
        <f t="shared" si="4"/>
        <v>1</v>
      </c>
      <c r="Q9" s="11">
        <f t="shared" si="4"/>
        <v>0</v>
      </c>
      <c r="R9" s="11">
        <f t="shared" si="4"/>
        <v>5</v>
      </c>
      <c r="S9" s="11">
        <f t="shared" si="4"/>
        <v>3</v>
      </c>
    </row>
    <row r="10">
      <c r="A10" s="2"/>
      <c r="B10" s="2"/>
      <c r="C10" s="2"/>
      <c r="D10" s="2"/>
      <c r="E10" s="2"/>
      <c r="F10" s="14"/>
      <c r="G10" s="2"/>
      <c r="H10" s="2"/>
      <c r="I10" s="2"/>
      <c r="J10" s="2"/>
      <c r="K10" s="2"/>
      <c r="L10" s="2"/>
      <c r="M10" s="2"/>
      <c r="N10" s="2"/>
      <c r="O10" s="14"/>
      <c r="P10" s="2"/>
      <c r="Q10" s="2"/>
      <c r="R10" s="2"/>
      <c r="S10" s="2"/>
    </row>
    <row r="11">
      <c r="A11" s="15" t="s">
        <v>29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6" t="s">
        <v>1</v>
      </c>
      <c r="B12" s="4" t="s">
        <v>2</v>
      </c>
      <c r="C12" s="4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  <c r="J12" s="4" t="s">
        <v>10</v>
      </c>
      <c r="K12" s="4" t="s">
        <v>11</v>
      </c>
      <c r="L12" s="4" t="s">
        <v>12</v>
      </c>
      <c r="M12" s="4" t="s">
        <v>13</v>
      </c>
      <c r="N12" s="4" t="s">
        <v>14</v>
      </c>
      <c r="O12" s="4" t="s">
        <v>15</v>
      </c>
      <c r="P12" s="4" t="s">
        <v>16</v>
      </c>
      <c r="Q12" s="4" t="s">
        <v>17</v>
      </c>
      <c r="R12" s="4" t="s">
        <v>18</v>
      </c>
      <c r="S12" s="4" t="s">
        <v>19</v>
      </c>
    </row>
    <row r="13">
      <c r="A13" s="5">
        <v>1.0</v>
      </c>
      <c r="B13" s="6">
        <v>6.0</v>
      </c>
      <c r="C13" s="7">
        <v>5.0</v>
      </c>
      <c r="D13" s="7">
        <v>16.0</v>
      </c>
      <c r="E13" s="8"/>
      <c r="F13" s="7">
        <v>2.0</v>
      </c>
      <c r="G13" s="7">
        <v>9.0</v>
      </c>
      <c r="H13" s="8">
        <f>F13/G13</f>
        <v>0.2222222222</v>
      </c>
      <c r="I13" s="7">
        <v>0.0</v>
      </c>
      <c r="J13" s="7">
        <v>0.0</v>
      </c>
      <c r="K13" s="9">
        <v>0.0</v>
      </c>
      <c r="L13" s="7">
        <v>2.0</v>
      </c>
      <c r="M13" s="7">
        <v>7.0</v>
      </c>
      <c r="N13" s="10">
        <f t="shared" ref="N13:N16" si="5">L13+M13</f>
        <v>9</v>
      </c>
      <c r="O13" s="7">
        <v>2.0</v>
      </c>
      <c r="P13" s="7">
        <v>1.0</v>
      </c>
      <c r="Q13" s="7">
        <v>1.0</v>
      </c>
      <c r="R13" s="7">
        <v>1.0</v>
      </c>
      <c r="S13" s="7">
        <v>1.0</v>
      </c>
    </row>
    <row r="14">
      <c r="A14" s="5">
        <v>2.0</v>
      </c>
      <c r="B14" s="6">
        <v>0.0</v>
      </c>
      <c r="C14" s="7">
        <v>0.0</v>
      </c>
      <c r="D14" s="7">
        <v>3.0</v>
      </c>
      <c r="E14" s="8">
        <f t="shared" ref="E14:E16" si="6">C14/D14</f>
        <v>0</v>
      </c>
      <c r="F14" s="7">
        <v>0.0</v>
      </c>
      <c r="G14" s="7">
        <v>0.0</v>
      </c>
      <c r="H14" s="9">
        <v>0.0</v>
      </c>
      <c r="I14" s="7">
        <v>0.0</v>
      </c>
      <c r="J14" s="7">
        <v>0.0</v>
      </c>
      <c r="K14" s="9">
        <v>0.0</v>
      </c>
      <c r="L14" s="7">
        <v>2.0</v>
      </c>
      <c r="M14" s="7">
        <v>2.0</v>
      </c>
      <c r="N14" s="10">
        <f t="shared" si="5"/>
        <v>4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</row>
    <row r="15">
      <c r="A15" s="5">
        <v>3.0</v>
      </c>
      <c r="B15" s="6">
        <v>1.0</v>
      </c>
      <c r="C15" s="7">
        <v>1.0</v>
      </c>
      <c r="D15" s="7">
        <v>1.0</v>
      </c>
      <c r="E15" s="8">
        <f t="shared" si="6"/>
        <v>1</v>
      </c>
      <c r="F15" s="7">
        <v>0.0</v>
      </c>
      <c r="G15" s="7">
        <v>0.0</v>
      </c>
      <c r="H15" s="9">
        <v>0.0</v>
      </c>
      <c r="I15" s="7">
        <v>0.0</v>
      </c>
      <c r="J15" s="7">
        <v>0.0</v>
      </c>
      <c r="K15" s="9">
        <v>0.0</v>
      </c>
      <c r="L15" s="7">
        <v>0.0</v>
      </c>
      <c r="M15" s="7">
        <v>2.0</v>
      </c>
      <c r="N15" s="10">
        <f t="shared" si="5"/>
        <v>2</v>
      </c>
      <c r="O15" s="7">
        <v>0.0</v>
      </c>
      <c r="P15" s="7">
        <v>0.0</v>
      </c>
      <c r="Q15" s="7">
        <v>1.0</v>
      </c>
      <c r="R15" s="7">
        <v>0.0</v>
      </c>
      <c r="S15" s="7">
        <v>0.0</v>
      </c>
    </row>
    <row r="16">
      <c r="A16" s="19">
        <v>4.0</v>
      </c>
      <c r="B16" s="20">
        <v>2.0</v>
      </c>
      <c r="C16" s="21">
        <v>2.0</v>
      </c>
      <c r="D16" s="21">
        <v>5.0</v>
      </c>
      <c r="E16" s="8">
        <f t="shared" si="6"/>
        <v>0.4</v>
      </c>
      <c r="F16" s="21">
        <v>0.0</v>
      </c>
      <c r="G16" s="21">
        <v>0.0</v>
      </c>
      <c r="H16" s="9">
        <v>0.0</v>
      </c>
      <c r="I16" s="21">
        <v>0.0</v>
      </c>
      <c r="J16" s="21">
        <v>1.0</v>
      </c>
      <c r="K16" s="22">
        <v>0.0</v>
      </c>
      <c r="L16" s="21">
        <v>2.0</v>
      </c>
      <c r="M16" s="21">
        <v>1.0</v>
      </c>
      <c r="N16" s="10">
        <f t="shared" si="5"/>
        <v>3</v>
      </c>
      <c r="O16" s="21">
        <v>2.0</v>
      </c>
      <c r="P16" s="21">
        <v>2.0</v>
      </c>
      <c r="Q16" s="21">
        <v>0.0</v>
      </c>
      <c r="R16" s="21">
        <v>1.0</v>
      </c>
      <c r="S16" s="21">
        <v>1.0</v>
      </c>
    </row>
    <row r="17">
      <c r="A17" s="6" t="s">
        <v>20</v>
      </c>
      <c r="B17" s="11">
        <f t="shared" ref="B17:D17" si="7">SUM(B12:B16)</f>
        <v>9</v>
      </c>
      <c r="C17" s="11">
        <f t="shared" si="7"/>
        <v>8</v>
      </c>
      <c r="D17" s="11">
        <f t="shared" si="7"/>
        <v>25</v>
      </c>
      <c r="E17" s="12">
        <f>AVERAGE(E12:E16)</f>
        <v>0.4666666667</v>
      </c>
      <c r="F17" s="11">
        <v>0.0</v>
      </c>
      <c r="G17" s="11">
        <v>0.0</v>
      </c>
      <c r="H17" s="12">
        <f>AVERAGE(H12:H16)</f>
        <v>0.05555555556</v>
      </c>
      <c r="I17" s="11">
        <v>0.0</v>
      </c>
      <c r="J17" s="11">
        <v>0.0</v>
      </c>
      <c r="K17" s="12">
        <f>AVERAGE(K12:K16)</f>
        <v>0</v>
      </c>
      <c r="L17" s="11">
        <f t="shared" ref="L17:S17" si="8">SUM(L12:L16)</f>
        <v>6</v>
      </c>
      <c r="M17" s="11">
        <f t="shared" si="8"/>
        <v>12</v>
      </c>
      <c r="N17" s="11">
        <f t="shared" si="8"/>
        <v>18</v>
      </c>
      <c r="O17" s="11">
        <f t="shared" si="8"/>
        <v>4</v>
      </c>
      <c r="P17" s="11">
        <f t="shared" si="8"/>
        <v>3</v>
      </c>
      <c r="Q17" s="11">
        <f t="shared" si="8"/>
        <v>2</v>
      </c>
      <c r="R17" s="11">
        <f t="shared" si="8"/>
        <v>2</v>
      </c>
      <c r="S17" s="11">
        <f t="shared" si="8"/>
        <v>2</v>
      </c>
    </row>
    <row r="19">
      <c r="U19" s="17" t="s">
        <v>22</v>
      </c>
      <c r="V19" s="18" t="s">
        <v>29</v>
      </c>
    </row>
    <row r="20">
      <c r="U20" s="17" t="s">
        <v>23</v>
      </c>
      <c r="V20" s="18" t="s">
        <v>30</v>
      </c>
    </row>
    <row r="21">
      <c r="U21" s="17" t="s">
        <v>24</v>
      </c>
      <c r="V21" s="18" t="s">
        <v>36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63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  <col customWidth="1" min="22" max="22" width="21.0"/>
  </cols>
  <sheetData>
    <row r="4">
      <c r="A4" s="1" t="s">
        <v>30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4.0</v>
      </c>
      <c r="C6" s="7">
        <v>4.0</v>
      </c>
      <c r="D6" s="7">
        <v>9.0</v>
      </c>
      <c r="E6" s="8">
        <f>C6/D6</f>
        <v>0.4444444444</v>
      </c>
      <c r="F6" s="7">
        <v>0.0</v>
      </c>
      <c r="G6" s="7">
        <v>0.0</v>
      </c>
      <c r="H6" s="9">
        <v>0.0</v>
      </c>
      <c r="I6" s="7">
        <v>0.0</v>
      </c>
      <c r="J6" s="7">
        <v>1.0</v>
      </c>
      <c r="K6" s="9">
        <v>0.0</v>
      </c>
      <c r="L6" s="7">
        <v>2.0</v>
      </c>
      <c r="M6" s="7">
        <v>3.0</v>
      </c>
      <c r="N6" s="10">
        <f>L6+M6</f>
        <v>5</v>
      </c>
      <c r="O6" s="7">
        <v>1.0</v>
      </c>
      <c r="P6" s="7">
        <v>1.0</v>
      </c>
      <c r="Q6" s="7">
        <v>0.0</v>
      </c>
      <c r="R6" s="7">
        <v>1.0</v>
      </c>
      <c r="S6" s="7">
        <v>0.0</v>
      </c>
    </row>
    <row r="7">
      <c r="A7" s="5">
        <v>67.0</v>
      </c>
      <c r="B7" s="6">
        <v>2.0</v>
      </c>
      <c r="C7" s="7">
        <v>1.0</v>
      </c>
      <c r="D7" s="7">
        <v>3.0</v>
      </c>
      <c r="E7" s="9">
        <v>0.0</v>
      </c>
      <c r="F7" s="7">
        <v>1.0</v>
      </c>
      <c r="G7" s="7">
        <v>3.0</v>
      </c>
      <c r="H7" s="8">
        <f>F7/G7</f>
        <v>0.3333333333</v>
      </c>
      <c r="I7" s="7">
        <v>0.0</v>
      </c>
      <c r="J7" s="7">
        <v>0.0</v>
      </c>
      <c r="K7" s="9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0.0</v>
      </c>
      <c r="R7" s="7">
        <v>0.0</v>
      </c>
      <c r="S7" s="7">
        <v>0.0</v>
      </c>
    </row>
    <row r="8">
      <c r="A8" s="5">
        <v>2.0</v>
      </c>
      <c r="B8" s="6">
        <v>2.0</v>
      </c>
      <c r="C8" s="7">
        <v>2.0</v>
      </c>
      <c r="D8" s="7">
        <v>6.0</v>
      </c>
      <c r="E8" s="8">
        <f t="shared" ref="E8:E9" si="1">C8/D8</f>
        <v>0.3333333333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9">
        <v>0.0</v>
      </c>
      <c r="L8" s="7">
        <v>0.0</v>
      </c>
      <c r="M8" s="7">
        <v>4.0</v>
      </c>
      <c r="N8" s="10">
        <f t="shared" ref="N8:N9" si="2">L8+M8</f>
        <v>4</v>
      </c>
      <c r="O8" s="7">
        <v>1.0</v>
      </c>
      <c r="P8" s="7">
        <v>0.0</v>
      </c>
      <c r="Q8" s="7">
        <v>0.0</v>
      </c>
      <c r="R8" s="7">
        <v>1.0</v>
      </c>
      <c r="S8" s="7">
        <v>0.0</v>
      </c>
    </row>
    <row r="9">
      <c r="A9" s="5">
        <v>3.0</v>
      </c>
      <c r="B9" s="6">
        <v>0.0</v>
      </c>
      <c r="C9" s="7">
        <v>0.0</v>
      </c>
      <c r="D9" s="7">
        <v>2.0</v>
      </c>
      <c r="E9" s="8">
        <f t="shared" si="1"/>
        <v>0</v>
      </c>
      <c r="F9" s="7">
        <v>0.0</v>
      </c>
      <c r="G9" s="7">
        <v>0.0</v>
      </c>
      <c r="H9" s="7">
        <v>0.0</v>
      </c>
      <c r="I9" s="7">
        <v>0.0</v>
      </c>
      <c r="J9" s="7">
        <v>1.0</v>
      </c>
      <c r="K9" s="9">
        <v>0.0</v>
      </c>
      <c r="L9" s="7">
        <v>1.0</v>
      </c>
      <c r="M9" s="7">
        <v>1.0</v>
      </c>
      <c r="N9" s="10">
        <f t="shared" si="2"/>
        <v>2</v>
      </c>
      <c r="O9" s="7">
        <v>0.0</v>
      </c>
      <c r="P9" s="7">
        <v>1.0</v>
      </c>
      <c r="Q9" s="7">
        <v>0.0</v>
      </c>
      <c r="R9" s="7">
        <v>1.0</v>
      </c>
      <c r="S9" s="7">
        <v>0.0</v>
      </c>
    </row>
    <row r="10">
      <c r="A10" s="6" t="s">
        <v>20</v>
      </c>
      <c r="B10" s="11">
        <f t="shared" ref="B10:D10" si="3">SUM(B5:B9)</f>
        <v>8</v>
      </c>
      <c r="C10" s="11">
        <f t="shared" si="3"/>
        <v>7</v>
      </c>
      <c r="D10" s="11">
        <f t="shared" si="3"/>
        <v>20</v>
      </c>
      <c r="E10" s="12">
        <f>AVERAGE(E5:E9)</f>
        <v>0.1944444444</v>
      </c>
      <c r="F10" s="26">
        <v>0.0</v>
      </c>
      <c r="G10" s="26">
        <v>0.0</v>
      </c>
      <c r="H10" s="12">
        <f>AVERAGE(H5:H9)</f>
        <v>0.08333333333</v>
      </c>
      <c r="I10" s="26">
        <v>0.0</v>
      </c>
      <c r="J10" s="26">
        <v>0.0</v>
      </c>
      <c r="K10" s="12">
        <f>AVERAGE(K5:K9)</f>
        <v>0</v>
      </c>
      <c r="L10" s="11">
        <f t="shared" ref="L10:S10" si="4">SUM(L5:L9)</f>
        <v>3</v>
      </c>
      <c r="M10" s="11">
        <f t="shared" si="4"/>
        <v>8</v>
      </c>
      <c r="N10" s="11">
        <f t="shared" si="4"/>
        <v>11</v>
      </c>
      <c r="O10" s="11">
        <f t="shared" si="4"/>
        <v>2</v>
      </c>
      <c r="P10" s="11">
        <f t="shared" si="4"/>
        <v>2</v>
      </c>
      <c r="Q10" s="11">
        <f t="shared" si="4"/>
        <v>0</v>
      </c>
      <c r="R10" s="11">
        <f t="shared" si="4"/>
        <v>3</v>
      </c>
      <c r="S10" s="11">
        <f t="shared" si="4"/>
        <v>0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4"/>
      <c r="P11" s="2"/>
      <c r="Q11" s="2"/>
      <c r="R11" s="2"/>
      <c r="S11" s="2"/>
    </row>
    <row r="12">
      <c r="A12" s="15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>
      <c r="A13" s="16" t="s">
        <v>1</v>
      </c>
      <c r="B13" s="4" t="s">
        <v>2</v>
      </c>
      <c r="C13" s="4" t="s">
        <v>3</v>
      </c>
      <c r="D13" s="4" t="s">
        <v>4</v>
      </c>
      <c r="E13" s="4" t="s">
        <v>5</v>
      </c>
      <c r="F13" s="4" t="s">
        <v>6</v>
      </c>
      <c r="G13" s="4" t="s">
        <v>7</v>
      </c>
      <c r="H13" s="4" t="s">
        <v>8</v>
      </c>
      <c r="I13" s="4" t="s">
        <v>9</v>
      </c>
      <c r="J13" s="4" t="s">
        <v>10</v>
      </c>
      <c r="K13" s="4" t="s">
        <v>11</v>
      </c>
      <c r="L13" s="4" t="s">
        <v>12</v>
      </c>
      <c r="M13" s="4" t="s">
        <v>13</v>
      </c>
      <c r="N13" s="4" t="s">
        <v>14</v>
      </c>
      <c r="O13" s="4" t="s">
        <v>15</v>
      </c>
      <c r="P13" s="4" t="s">
        <v>16</v>
      </c>
      <c r="Q13" s="4" t="s">
        <v>17</v>
      </c>
      <c r="R13" s="4" t="s">
        <v>18</v>
      </c>
      <c r="S13" s="4" t="s">
        <v>19</v>
      </c>
    </row>
    <row r="14">
      <c r="A14" s="5">
        <v>2.0</v>
      </c>
      <c r="B14" s="6">
        <v>0.0</v>
      </c>
      <c r="C14" s="7">
        <v>0.0</v>
      </c>
      <c r="D14" s="7">
        <v>5.0</v>
      </c>
      <c r="E14" s="8">
        <f t="shared" ref="E14:E15" si="5">C14/D14</f>
        <v>0</v>
      </c>
      <c r="F14" s="7">
        <v>1.0</v>
      </c>
      <c r="G14" s="7">
        <v>2.0</v>
      </c>
      <c r="H14" s="9">
        <v>0.0</v>
      </c>
      <c r="I14" s="7">
        <v>0.0</v>
      </c>
      <c r="J14" s="7">
        <v>0.0</v>
      </c>
      <c r="K14" s="9">
        <v>0.0</v>
      </c>
      <c r="L14" s="7">
        <v>1.0</v>
      </c>
      <c r="M14" s="7">
        <v>1.0</v>
      </c>
      <c r="N14" s="10">
        <f t="shared" ref="N14:N15" si="6">L14+M14</f>
        <v>2</v>
      </c>
      <c r="O14" s="7">
        <v>1.0</v>
      </c>
      <c r="P14" s="7">
        <v>0.0</v>
      </c>
      <c r="Q14" s="7">
        <v>0.0</v>
      </c>
      <c r="R14" s="7">
        <v>0.0</v>
      </c>
      <c r="S14" s="7">
        <v>0.0</v>
      </c>
    </row>
    <row r="15">
      <c r="A15" s="5">
        <v>5.0</v>
      </c>
      <c r="B15" s="6">
        <v>1.0</v>
      </c>
      <c r="C15" s="7">
        <v>1.0</v>
      </c>
      <c r="D15" s="7">
        <v>8.0</v>
      </c>
      <c r="E15" s="8">
        <f t="shared" si="5"/>
        <v>0.125</v>
      </c>
      <c r="F15" s="7">
        <v>0.0</v>
      </c>
      <c r="G15" s="7">
        <v>0.0</v>
      </c>
      <c r="H15" s="9">
        <v>0.0</v>
      </c>
      <c r="I15" s="7">
        <v>0.0</v>
      </c>
      <c r="J15" s="7">
        <v>0.0</v>
      </c>
      <c r="K15" s="9">
        <v>0.0</v>
      </c>
      <c r="L15" s="7">
        <v>2.0</v>
      </c>
      <c r="M15" s="7">
        <v>5.0</v>
      </c>
      <c r="N15" s="10">
        <f t="shared" si="6"/>
        <v>7</v>
      </c>
      <c r="O15" s="7">
        <v>0.0</v>
      </c>
      <c r="P15" s="7">
        <v>0.0</v>
      </c>
      <c r="Q15" s="7">
        <v>0.0</v>
      </c>
      <c r="R15" s="7">
        <v>3.0</v>
      </c>
      <c r="S15" s="7">
        <v>0.0</v>
      </c>
    </row>
    <row r="16">
      <c r="A16" s="5">
        <v>1.0</v>
      </c>
      <c r="B16" s="6">
        <v>0.0</v>
      </c>
      <c r="C16" s="7">
        <v>0.0</v>
      </c>
      <c r="D16" s="7">
        <v>3.0</v>
      </c>
      <c r="E16" s="9">
        <v>0.0</v>
      </c>
      <c r="F16" s="7">
        <v>0.0</v>
      </c>
      <c r="G16" s="7">
        <v>0.0</v>
      </c>
      <c r="H16" s="9">
        <v>0.0</v>
      </c>
      <c r="I16" s="7">
        <v>0.0</v>
      </c>
      <c r="J16" s="7">
        <v>0.0</v>
      </c>
      <c r="K16" s="9">
        <v>0.0</v>
      </c>
      <c r="L16" s="7">
        <v>0.0</v>
      </c>
      <c r="M16" s="7">
        <v>2.0</v>
      </c>
      <c r="N16" s="7">
        <v>0.0</v>
      </c>
      <c r="O16" s="7">
        <v>0.0</v>
      </c>
      <c r="P16" s="7">
        <v>0.0</v>
      </c>
      <c r="Q16" s="7">
        <v>0.0</v>
      </c>
      <c r="R16" s="7">
        <v>1.0</v>
      </c>
      <c r="S16" s="7">
        <v>0.0</v>
      </c>
    </row>
    <row r="17">
      <c r="A17" s="5">
        <v>4.0</v>
      </c>
      <c r="B17" s="6">
        <v>0.0</v>
      </c>
      <c r="C17" s="7">
        <v>1.0</v>
      </c>
      <c r="D17" s="7">
        <v>7.0</v>
      </c>
      <c r="E17" s="8">
        <f>C17/D17</f>
        <v>0.1428571429</v>
      </c>
      <c r="F17" s="7">
        <v>0.0</v>
      </c>
      <c r="G17" s="7">
        <v>3.0</v>
      </c>
      <c r="H17" s="9">
        <v>0.0</v>
      </c>
      <c r="I17" s="7">
        <v>0.0</v>
      </c>
      <c r="J17" s="7">
        <v>0.0</v>
      </c>
      <c r="K17" s="9">
        <v>0.0</v>
      </c>
      <c r="L17" s="7">
        <v>1.0</v>
      </c>
      <c r="M17" s="7">
        <v>2.0</v>
      </c>
      <c r="N17" s="10">
        <f>L17+M17</f>
        <v>3</v>
      </c>
      <c r="O17" s="7">
        <v>0.0</v>
      </c>
      <c r="P17" s="7">
        <v>0.0</v>
      </c>
      <c r="Q17" s="7">
        <v>0.0</v>
      </c>
      <c r="R17" s="7">
        <v>1.0</v>
      </c>
      <c r="S17" s="7">
        <v>0.0</v>
      </c>
    </row>
    <row r="18">
      <c r="A18" s="6" t="s">
        <v>20</v>
      </c>
      <c r="B18" s="11">
        <f t="shared" ref="B18:D18" si="7">SUM(B13:B17)</f>
        <v>1</v>
      </c>
      <c r="C18" s="11">
        <f t="shared" si="7"/>
        <v>2</v>
      </c>
      <c r="D18" s="11">
        <f t="shared" si="7"/>
        <v>23</v>
      </c>
      <c r="E18" s="12">
        <f>AVERAGE(E13:E17)</f>
        <v>0.06696428571</v>
      </c>
      <c r="F18" s="26">
        <v>0.0</v>
      </c>
      <c r="G18" s="26">
        <v>0.0</v>
      </c>
      <c r="H18" s="12">
        <f>AVERAGE(H13:H17)</f>
        <v>0</v>
      </c>
      <c r="I18" s="26">
        <v>0.0</v>
      </c>
      <c r="J18" s="26">
        <v>0.0</v>
      </c>
      <c r="K18" s="12">
        <f>AVERAGE(K13:K17)</f>
        <v>0</v>
      </c>
      <c r="L18" s="11">
        <f t="shared" ref="L18:S18" si="8">SUM(L13:L17)</f>
        <v>4</v>
      </c>
      <c r="M18" s="11">
        <f t="shared" si="8"/>
        <v>10</v>
      </c>
      <c r="N18" s="11">
        <f t="shared" si="8"/>
        <v>12</v>
      </c>
      <c r="O18" s="11">
        <f t="shared" si="8"/>
        <v>1</v>
      </c>
      <c r="P18" s="11">
        <f t="shared" si="8"/>
        <v>0</v>
      </c>
      <c r="Q18" s="11">
        <f t="shared" si="8"/>
        <v>0</v>
      </c>
      <c r="R18" s="11">
        <f t="shared" si="8"/>
        <v>5</v>
      </c>
      <c r="S18" s="11">
        <f t="shared" si="8"/>
        <v>0</v>
      </c>
    </row>
    <row r="20">
      <c r="U20" s="17" t="s">
        <v>22</v>
      </c>
      <c r="V20" s="18" t="s">
        <v>30</v>
      </c>
    </row>
    <row r="21">
      <c r="U21" s="17" t="s">
        <v>23</v>
      </c>
      <c r="V21" s="18" t="s">
        <v>21</v>
      </c>
    </row>
    <row r="22">
      <c r="U22" s="17" t="s">
        <v>24</v>
      </c>
      <c r="V22" s="18" t="s">
        <v>37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13.75"/>
    <col customWidth="1" min="6" max="6" width="5.5"/>
    <col customWidth="1" min="7" max="7" width="4.13"/>
    <col customWidth="1" min="8" max="8" width="7.75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  <col customWidth="1" min="22" max="22" width="30.38"/>
  </cols>
  <sheetData>
    <row r="4">
      <c r="A4" s="1" t="s">
        <v>28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3.0</v>
      </c>
      <c r="C6" s="7">
        <v>3.0</v>
      </c>
      <c r="D6" s="7">
        <v>8.0</v>
      </c>
      <c r="E6" s="8">
        <f t="shared" ref="E6:E8" si="1">C6/D6</f>
        <v>0.375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9">
        <v>0.0</v>
      </c>
      <c r="L6" s="7">
        <v>1.0</v>
      </c>
      <c r="M6" s="7">
        <v>5.0</v>
      </c>
      <c r="N6" s="10">
        <f t="shared" ref="N6:N10" si="2">L6+M6</f>
        <v>6</v>
      </c>
      <c r="O6" s="7">
        <v>0.0</v>
      </c>
      <c r="P6" s="7">
        <v>1.0</v>
      </c>
      <c r="Q6" s="7">
        <v>1.0</v>
      </c>
      <c r="R6" s="7">
        <v>2.0</v>
      </c>
      <c r="S6" s="7">
        <v>0.0</v>
      </c>
    </row>
    <row r="7">
      <c r="A7" s="5">
        <v>2.0</v>
      </c>
      <c r="B7" s="6">
        <v>4.0</v>
      </c>
      <c r="C7" s="7">
        <v>4.0</v>
      </c>
      <c r="D7" s="7">
        <v>7.0</v>
      </c>
      <c r="E7" s="8">
        <f t="shared" si="1"/>
        <v>0.5714285714</v>
      </c>
      <c r="F7" s="7">
        <v>0.0</v>
      </c>
      <c r="G7" s="7">
        <v>0.0</v>
      </c>
      <c r="H7" s="7">
        <v>0.0</v>
      </c>
      <c r="I7" s="7">
        <v>0.0</v>
      </c>
      <c r="J7" s="7">
        <v>1.0</v>
      </c>
      <c r="K7" s="9">
        <v>0.0</v>
      </c>
      <c r="L7" s="7">
        <v>0.0</v>
      </c>
      <c r="M7" s="7">
        <v>3.0</v>
      </c>
      <c r="N7" s="10">
        <f t="shared" si="2"/>
        <v>3</v>
      </c>
      <c r="O7" s="7">
        <v>2.0</v>
      </c>
      <c r="P7" s="7">
        <v>0.0</v>
      </c>
      <c r="Q7" s="7">
        <v>0.0</v>
      </c>
      <c r="R7" s="7">
        <v>2.0</v>
      </c>
      <c r="S7" s="7">
        <v>1.0</v>
      </c>
    </row>
    <row r="8">
      <c r="A8" s="5">
        <v>3.0</v>
      </c>
      <c r="B8" s="6">
        <v>2.0</v>
      </c>
      <c r="C8" s="7">
        <v>2.0</v>
      </c>
      <c r="D8" s="7">
        <v>4.0</v>
      </c>
      <c r="E8" s="8">
        <f t="shared" si="1"/>
        <v>0.5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9">
        <v>0.0</v>
      </c>
      <c r="L8" s="7">
        <v>2.0</v>
      </c>
      <c r="M8" s="7">
        <v>0.0</v>
      </c>
      <c r="N8" s="10">
        <f t="shared" si="2"/>
        <v>2</v>
      </c>
      <c r="O8" s="7">
        <v>0.0</v>
      </c>
      <c r="P8" s="7">
        <v>0.0</v>
      </c>
      <c r="Q8" s="7">
        <v>0.0</v>
      </c>
      <c r="R8" s="7">
        <v>1.0</v>
      </c>
      <c r="S8" s="7">
        <v>0.0</v>
      </c>
    </row>
    <row r="9">
      <c r="A9" s="5">
        <v>4.0</v>
      </c>
      <c r="B9" s="6">
        <v>0.0</v>
      </c>
      <c r="C9" s="7">
        <v>0.0</v>
      </c>
      <c r="D9" s="7">
        <v>2.0</v>
      </c>
      <c r="E9" s="9">
        <v>0.0</v>
      </c>
      <c r="F9" s="7">
        <v>0.0</v>
      </c>
      <c r="G9" s="7">
        <v>1.0</v>
      </c>
      <c r="H9" s="7">
        <v>0.0</v>
      </c>
      <c r="I9" s="7">
        <v>0.0</v>
      </c>
      <c r="J9" s="7">
        <v>0.0</v>
      </c>
      <c r="K9" s="9">
        <v>0.0</v>
      </c>
      <c r="L9" s="7">
        <v>0.0</v>
      </c>
      <c r="M9" s="7">
        <v>1.0</v>
      </c>
      <c r="N9" s="10">
        <f t="shared" si="2"/>
        <v>1</v>
      </c>
      <c r="O9" s="7">
        <v>0.0</v>
      </c>
      <c r="P9" s="7">
        <v>1.0</v>
      </c>
      <c r="Q9" s="7">
        <v>0.0</v>
      </c>
      <c r="R9" s="7">
        <v>0.0</v>
      </c>
      <c r="S9" s="7">
        <v>0.0</v>
      </c>
    </row>
    <row r="10">
      <c r="A10" s="5">
        <v>5.0</v>
      </c>
      <c r="B10" s="6">
        <v>2.0</v>
      </c>
      <c r="C10" s="7">
        <v>2.0</v>
      </c>
      <c r="D10" s="7">
        <v>5.0</v>
      </c>
      <c r="E10" s="8">
        <f>C10/D10</f>
        <v>0.4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9">
        <v>0.0</v>
      </c>
      <c r="L10" s="7">
        <v>0.0</v>
      </c>
      <c r="M10" s="7">
        <v>0.0</v>
      </c>
      <c r="N10" s="10">
        <f t="shared" si="2"/>
        <v>0</v>
      </c>
      <c r="O10" s="7">
        <v>0.0</v>
      </c>
      <c r="P10" s="7">
        <v>1.0</v>
      </c>
      <c r="Q10" s="7">
        <v>0.0</v>
      </c>
      <c r="R10" s="7">
        <v>1.0</v>
      </c>
      <c r="S10" s="7">
        <v>0.0</v>
      </c>
    </row>
    <row r="11">
      <c r="A11" s="6" t="s">
        <v>20</v>
      </c>
      <c r="B11" s="11">
        <f t="shared" ref="B11:D11" si="3">SUM(B6:B10)</f>
        <v>11</v>
      </c>
      <c r="C11" s="11">
        <f t="shared" si="3"/>
        <v>11</v>
      </c>
      <c r="D11" s="11">
        <f t="shared" si="3"/>
        <v>26</v>
      </c>
      <c r="E11" s="12">
        <f>AVERAGE(E6:E10)</f>
        <v>0.3692857143</v>
      </c>
      <c r="F11" s="26">
        <v>0.0</v>
      </c>
      <c r="G11" s="26">
        <v>0.0</v>
      </c>
      <c r="H11" s="12">
        <f>AVERAGE(H6:H10)</f>
        <v>0</v>
      </c>
      <c r="I11" s="26">
        <v>0.0</v>
      </c>
      <c r="J11" s="26">
        <v>0.0</v>
      </c>
      <c r="K11" s="12">
        <f>AVERAGE(K6:K10)</f>
        <v>0</v>
      </c>
      <c r="L11" s="11">
        <f t="shared" ref="L11:S11" si="4">SUM(L6:L10)</f>
        <v>3</v>
      </c>
      <c r="M11" s="11">
        <f t="shared" si="4"/>
        <v>9</v>
      </c>
      <c r="N11" s="11">
        <f t="shared" si="4"/>
        <v>12</v>
      </c>
      <c r="O11" s="11">
        <f t="shared" si="4"/>
        <v>2</v>
      </c>
      <c r="P11" s="11">
        <f t="shared" si="4"/>
        <v>3</v>
      </c>
      <c r="Q11" s="11">
        <f t="shared" si="4"/>
        <v>1</v>
      </c>
      <c r="R11" s="11">
        <f t="shared" si="4"/>
        <v>6</v>
      </c>
      <c r="S11" s="11">
        <f t="shared" si="4"/>
        <v>1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4"/>
      <c r="P12" s="2"/>
      <c r="Q12" s="2"/>
      <c r="R12" s="2"/>
      <c r="S12" s="2"/>
    </row>
    <row r="13">
      <c r="A13" s="15" t="s">
        <v>31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16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  <c r="K14" s="4" t="s">
        <v>11</v>
      </c>
      <c r="L14" s="4" t="s">
        <v>12</v>
      </c>
      <c r="M14" s="4" t="s">
        <v>13</v>
      </c>
      <c r="N14" s="4" t="s">
        <v>14</v>
      </c>
      <c r="O14" s="4" t="s">
        <v>15</v>
      </c>
      <c r="P14" s="4" t="s">
        <v>16</v>
      </c>
      <c r="Q14" s="4" t="s">
        <v>17</v>
      </c>
      <c r="R14" s="4" t="s">
        <v>18</v>
      </c>
      <c r="S14" s="4" t="s">
        <v>19</v>
      </c>
    </row>
    <row r="15">
      <c r="A15" s="5">
        <v>1.0</v>
      </c>
      <c r="B15" s="6">
        <v>10.0</v>
      </c>
      <c r="C15" s="7">
        <v>7.0</v>
      </c>
      <c r="D15" s="7">
        <v>16.0</v>
      </c>
      <c r="E15" s="8">
        <f t="shared" ref="E15:E17" si="5">C15/D15</f>
        <v>0.4375</v>
      </c>
      <c r="F15" s="7">
        <v>3.0</v>
      </c>
      <c r="G15" s="7">
        <v>7.0</v>
      </c>
      <c r="H15" s="8">
        <f>F15/G15</f>
        <v>0.4285714286</v>
      </c>
      <c r="I15" s="7">
        <v>0.0</v>
      </c>
      <c r="J15" s="7">
        <v>0.0</v>
      </c>
      <c r="K15" s="9">
        <v>0.0</v>
      </c>
      <c r="L15" s="7">
        <v>0.0</v>
      </c>
      <c r="M15" s="7">
        <v>1.0</v>
      </c>
      <c r="N15" s="10">
        <f t="shared" ref="N15:N18" si="6">L15+M15</f>
        <v>1</v>
      </c>
      <c r="O15" s="7">
        <v>1.0</v>
      </c>
      <c r="P15" s="7">
        <v>2.0</v>
      </c>
      <c r="Q15" s="7">
        <v>0.0</v>
      </c>
      <c r="R15" s="7">
        <v>1.0</v>
      </c>
      <c r="S15" s="7">
        <v>1.0</v>
      </c>
    </row>
    <row r="16">
      <c r="A16" s="5">
        <v>2.0</v>
      </c>
      <c r="B16" s="6">
        <v>2.0</v>
      </c>
      <c r="C16" s="7">
        <v>2.0</v>
      </c>
      <c r="D16" s="7">
        <v>5.0</v>
      </c>
      <c r="E16" s="8">
        <f t="shared" si="5"/>
        <v>0.4</v>
      </c>
      <c r="F16" s="7">
        <v>0.0</v>
      </c>
      <c r="G16" s="7">
        <v>1.0</v>
      </c>
      <c r="H16" s="9">
        <v>0.0</v>
      </c>
      <c r="I16" s="7">
        <v>0.0</v>
      </c>
      <c r="J16" s="7">
        <v>0.0</v>
      </c>
      <c r="K16" s="9">
        <v>0.0</v>
      </c>
      <c r="L16" s="7">
        <v>0.0</v>
      </c>
      <c r="M16" s="7">
        <v>4.0</v>
      </c>
      <c r="N16" s="10">
        <f t="shared" si="6"/>
        <v>4</v>
      </c>
      <c r="O16" s="7">
        <v>1.0</v>
      </c>
      <c r="P16" s="7">
        <v>0.0</v>
      </c>
      <c r="Q16" s="7">
        <v>0.0</v>
      </c>
      <c r="R16" s="7">
        <v>2.0</v>
      </c>
      <c r="S16" s="7">
        <v>0.0</v>
      </c>
    </row>
    <row r="17">
      <c r="A17" s="5">
        <v>3.0</v>
      </c>
      <c r="B17" s="6">
        <v>1.0</v>
      </c>
      <c r="C17" s="7">
        <v>1.0</v>
      </c>
      <c r="D17" s="7">
        <v>3.0</v>
      </c>
      <c r="E17" s="8">
        <f t="shared" si="5"/>
        <v>0.3333333333</v>
      </c>
      <c r="F17" s="7">
        <v>0.0</v>
      </c>
      <c r="G17" s="7">
        <v>0.0</v>
      </c>
      <c r="H17" s="9">
        <v>0.0</v>
      </c>
      <c r="I17" s="7">
        <v>0.0</v>
      </c>
      <c r="J17" s="7">
        <v>0.0</v>
      </c>
      <c r="K17" s="9">
        <v>0.0</v>
      </c>
      <c r="L17" s="7">
        <v>2.0</v>
      </c>
      <c r="M17" s="7">
        <v>1.0</v>
      </c>
      <c r="N17" s="10">
        <f t="shared" si="6"/>
        <v>3</v>
      </c>
      <c r="O17" s="7">
        <v>1.0</v>
      </c>
      <c r="P17" s="7">
        <v>1.0</v>
      </c>
      <c r="Q17" s="7">
        <v>3.0</v>
      </c>
      <c r="R17" s="7">
        <v>1.0</v>
      </c>
      <c r="S17" s="7">
        <v>1.0</v>
      </c>
    </row>
    <row r="18">
      <c r="A18" s="5">
        <v>4.0</v>
      </c>
      <c r="B18" s="6">
        <v>0.0</v>
      </c>
      <c r="C18" s="7">
        <v>0.0</v>
      </c>
      <c r="D18" s="7">
        <v>0.0</v>
      </c>
      <c r="E18" s="9">
        <v>0.0</v>
      </c>
      <c r="F18" s="7">
        <v>0.0</v>
      </c>
      <c r="G18" s="7">
        <v>0.0</v>
      </c>
      <c r="H18" s="9">
        <v>0.0</v>
      </c>
      <c r="I18" s="7">
        <v>0.0</v>
      </c>
      <c r="J18" s="7">
        <v>0.0</v>
      </c>
      <c r="K18" s="9">
        <v>0.0</v>
      </c>
      <c r="L18" s="7">
        <v>0.0</v>
      </c>
      <c r="M18" s="7">
        <v>1.0</v>
      </c>
      <c r="N18" s="10">
        <f t="shared" si="6"/>
        <v>1</v>
      </c>
      <c r="O18" s="7">
        <v>0.0</v>
      </c>
      <c r="P18" s="7">
        <v>0.0</v>
      </c>
      <c r="Q18" s="7">
        <v>0.0</v>
      </c>
      <c r="R18" s="7">
        <v>1.0</v>
      </c>
      <c r="S18" s="7">
        <v>0.0</v>
      </c>
    </row>
    <row r="19">
      <c r="A19" s="6" t="s">
        <v>20</v>
      </c>
      <c r="B19" s="11">
        <f t="shared" ref="B19:D19" si="7">SUM(B14:B18)</f>
        <v>13</v>
      </c>
      <c r="C19" s="11">
        <f t="shared" si="7"/>
        <v>10</v>
      </c>
      <c r="D19" s="11">
        <f t="shared" si="7"/>
        <v>24</v>
      </c>
      <c r="E19" s="12">
        <f>AVERAGE(E14:E18)</f>
        <v>0.2927083333</v>
      </c>
      <c r="F19" s="26">
        <v>0.0</v>
      </c>
      <c r="G19" s="26">
        <v>0.0</v>
      </c>
      <c r="H19" s="12">
        <f>AVERAGE(H14:H18)</f>
        <v>0.1071428571</v>
      </c>
      <c r="I19" s="26">
        <v>0.0</v>
      </c>
      <c r="J19" s="26">
        <v>0.0</v>
      </c>
      <c r="K19" s="12">
        <f>AVERAGE(K14:K18)</f>
        <v>0</v>
      </c>
      <c r="L19" s="11">
        <f t="shared" ref="L19:S19" si="8">SUM(L14:L18)</f>
        <v>2</v>
      </c>
      <c r="M19" s="11">
        <f t="shared" si="8"/>
        <v>7</v>
      </c>
      <c r="N19" s="11">
        <f t="shared" si="8"/>
        <v>9</v>
      </c>
      <c r="O19" s="11">
        <f t="shared" si="8"/>
        <v>3</v>
      </c>
      <c r="P19" s="11">
        <f t="shared" si="8"/>
        <v>3</v>
      </c>
      <c r="Q19" s="11">
        <f t="shared" si="8"/>
        <v>3</v>
      </c>
      <c r="R19" s="11">
        <f t="shared" si="8"/>
        <v>5</v>
      </c>
      <c r="S19" s="11">
        <f t="shared" si="8"/>
        <v>2</v>
      </c>
    </row>
    <row r="21">
      <c r="U21" s="17" t="s">
        <v>22</v>
      </c>
      <c r="V21" s="18" t="s">
        <v>31</v>
      </c>
    </row>
    <row r="22">
      <c r="U22" s="17" t="s">
        <v>23</v>
      </c>
      <c r="V22" s="18" t="s">
        <v>28</v>
      </c>
    </row>
    <row r="23">
      <c r="U23" s="17" t="s">
        <v>24</v>
      </c>
      <c r="V23" s="18" t="s">
        <v>38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63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7.7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  <col customWidth="1" min="22" max="22" width="29.38"/>
  </cols>
  <sheetData>
    <row r="4">
      <c r="A4" s="1" t="s">
        <v>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0.0</v>
      </c>
      <c r="C6" s="7">
        <v>0.0</v>
      </c>
      <c r="D6" s="7">
        <v>12.0</v>
      </c>
      <c r="E6" s="8">
        <f t="shared" ref="E6:E7" si="1">C6/D6</f>
        <v>0</v>
      </c>
      <c r="F6" s="7">
        <v>0.0</v>
      </c>
      <c r="G6" s="7">
        <v>0.0</v>
      </c>
      <c r="H6" s="9">
        <v>0.0</v>
      </c>
      <c r="I6" s="7">
        <v>0.0</v>
      </c>
      <c r="J6" s="7">
        <v>0.0</v>
      </c>
      <c r="K6" s="9">
        <v>0.0</v>
      </c>
      <c r="L6" s="7">
        <v>1.0</v>
      </c>
      <c r="M6" s="7">
        <v>3.0</v>
      </c>
      <c r="N6" s="10">
        <f t="shared" ref="N6:N10" si="2">sum(L6+M6)</f>
        <v>4</v>
      </c>
      <c r="O6" s="7">
        <v>0.0</v>
      </c>
      <c r="P6" s="7">
        <v>2.0</v>
      </c>
      <c r="Q6" s="7">
        <v>1.0</v>
      </c>
      <c r="R6" s="7">
        <v>2.0</v>
      </c>
      <c r="S6" s="7">
        <v>0.0</v>
      </c>
    </row>
    <row r="7">
      <c r="A7" s="5">
        <v>12.0</v>
      </c>
      <c r="B7" s="6">
        <v>1.0</v>
      </c>
      <c r="C7" s="7">
        <v>2.0</v>
      </c>
      <c r="D7" s="7">
        <v>9.0</v>
      </c>
      <c r="E7" s="8">
        <f t="shared" si="1"/>
        <v>0.2222222222</v>
      </c>
      <c r="F7" s="7">
        <v>0.0</v>
      </c>
      <c r="G7" s="7">
        <v>0.0</v>
      </c>
      <c r="H7" s="9">
        <v>0.0</v>
      </c>
      <c r="I7" s="7">
        <v>1.0</v>
      </c>
      <c r="J7" s="7">
        <v>1.0</v>
      </c>
      <c r="K7" s="8">
        <f>I7/J7</f>
        <v>1</v>
      </c>
      <c r="L7" s="7">
        <v>2.0</v>
      </c>
      <c r="M7" s="7">
        <v>4.0</v>
      </c>
      <c r="N7" s="10">
        <f t="shared" si="2"/>
        <v>6</v>
      </c>
      <c r="O7" s="7">
        <v>0.0</v>
      </c>
      <c r="P7" s="7">
        <v>1.0</v>
      </c>
      <c r="Q7" s="7">
        <v>0.0</v>
      </c>
      <c r="R7" s="7">
        <v>2.0</v>
      </c>
      <c r="S7" s="7">
        <v>1.0</v>
      </c>
    </row>
    <row r="8">
      <c r="A8" s="5">
        <v>3.0</v>
      </c>
      <c r="B8" s="6">
        <v>0.0</v>
      </c>
      <c r="C8" s="7">
        <v>0.0</v>
      </c>
      <c r="D8" s="7">
        <v>1.0</v>
      </c>
      <c r="E8" s="9">
        <v>0.0</v>
      </c>
      <c r="F8" s="7">
        <v>0.0</v>
      </c>
      <c r="G8" s="7">
        <v>0.0</v>
      </c>
      <c r="H8" s="9">
        <v>0.0</v>
      </c>
      <c r="I8" s="7">
        <v>0.0</v>
      </c>
      <c r="J8" s="7">
        <v>0.0</v>
      </c>
      <c r="K8" s="9">
        <v>0.0</v>
      </c>
      <c r="L8" s="7">
        <v>0.0</v>
      </c>
      <c r="M8" s="7">
        <v>0.0</v>
      </c>
      <c r="N8" s="10">
        <f t="shared" si="2"/>
        <v>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</row>
    <row r="9">
      <c r="A9" s="5">
        <v>4.0</v>
      </c>
      <c r="B9" s="6">
        <v>0.0</v>
      </c>
      <c r="C9" s="7">
        <v>0.0</v>
      </c>
      <c r="D9" s="7">
        <v>1.0</v>
      </c>
      <c r="E9" s="8">
        <f>C9/D9</f>
        <v>0</v>
      </c>
      <c r="F9" s="7">
        <v>0.0</v>
      </c>
      <c r="G9" s="7">
        <v>0.0</v>
      </c>
      <c r="H9" s="9">
        <v>0.0</v>
      </c>
      <c r="I9" s="7">
        <v>0.0</v>
      </c>
      <c r="J9" s="7">
        <v>0.0</v>
      </c>
      <c r="K9" s="9">
        <v>0.0</v>
      </c>
      <c r="L9" s="7">
        <v>1.0</v>
      </c>
      <c r="M9" s="7">
        <v>1.0</v>
      </c>
      <c r="N9" s="10">
        <f t="shared" si="2"/>
        <v>2</v>
      </c>
      <c r="O9" s="7">
        <v>0.0</v>
      </c>
      <c r="P9" s="7">
        <v>1.0</v>
      </c>
      <c r="Q9" s="7">
        <v>0.0</v>
      </c>
      <c r="R9" s="7">
        <v>0.0</v>
      </c>
      <c r="S9" s="7">
        <v>0.0</v>
      </c>
    </row>
    <row r="10">
      <c r="A10" s="5">
        <v>7.0</v>
      </c>
      <c r="B10" s="6">
        <v>0.0</v>
      </c>
      <c r="C10" s="7">
        <v>0.0</v>
      </c>
      <c r="D10" s="7">
        <v>0.0</v>
      </c>
      <c r="E10" s="9">
        <v>0.0</v>
      </c>
      <c r="F10" s="7">
        <v>0.0</v>
      </c>
      <c r="G10" s="7">
        <v>0.0</v>
      </c>
      <c r="H10" s="9">
        <v>0.0</v>
      </c>
      <c r="I10" s="7">
        <v>0.0</v>
      </c>
      <c r="J10" s="7">
        <v>0.0</v>
      </c>
      <c r="K10" s="9">
        <v>0.0</v>
      </c>
      <c r="L10" s="7">
        <v>0.0</v>
      </c>
      <c r="M10" s="7">
        <v>1.0</v>
      </c>
      <c r="N10" s="10">
        <f t="shared" si="2"/>
        <v>1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</row>
    <row r="11">
      <c r="A11" s="6" t="s">
        <v>20</v>
      </c>
      <c r="B11" s="11">
        <f t="shared" ref="B11:D11" si="3">SUM(B6:B10)</f>
        <v>1</v>
      </c>
      <c r="C11" s="11">
        <f t="shared" si="3"/>
        <v>2</v>
      </c>
      <c r="D11" s="11">
        <f t="shared" si="3"/>
        <v>23</v>
      </c>
      <c r="E11" s="12">
        <f>AVERAGE(E6:E10)</f>
        <v>0.04444444444</v>
      </c>
      <c r="F11" s="26">
        <v>0.0</v>
      </c>
      <c r="G11" s="26">
        <v>0.0</v>
      </c>
      <c r="H11" s="12">
        <f>AVERAGE(H6:H10)</f>
        <v>0</v>
      </c>
      <c r="I11" s="26">
        <v>0.0</v>
      </c>
      <c r="J11" s="11">
        <v>0.0</v>
      </c>
      <c r="K11" s="12">
        <f>AVERAGE(K6:K10)</f>
        <v>0.2</v>
      </c>
      <c r="L11" s="11">
        <f t="shared" ref="L11:S11" si="4">SUM(L6:L10)</f>
        <v>4</v>
      </c>
      <c r="M11" s="11">
        <f t="shared" si="4"/>
        <v>9</v>
      </c>
      <c r="N11" s="11">
        <f t="shared" si="4"/>
        <v>13</v>
      </c>
      <c r="O11" s="11">
        <f t="shared" si="4"/>
        <v>0</v>
      </c>
      <c r="P11" s="11">
        <f t="shared" si="4"/>
        <v>4</v>
      </c>
      <c r="Q11" s="11">
        <f t="shared" si="4"/>
        <v>1</v>
      </c>
      <c r="R11" s="11">
        <f t="shared" si="4"/>
        <v>4</v>
      </c>
      <c r="S11" s="11">
        <f t="shared" si="4"/>
        <v>1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4"/>
      <c r="P12" s="2"/>
      <c r="Q12" s="2"/>
      <c r="R12" s="2"/>
      <c r="S12" s="2"/>
    </row>
    <row r="13">
      <c r="A13" s="15" t="s">
        <v>31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16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  <c r="K14" s="4" t="s">
        <v>11</v>
      </c>
      <c r="L14" s="4" t="s">
        <v>12</v>
      </c>
      <c r="M14" s="4" t="s">
        <v>13</v>
      </c>
      <c r="N14" s="4" t="s">
        <v>14</v>
      </c>
      <c r="O14" s="4" t="s">
        <v>15</v>
      </c>
      <c r="P14" s="4" t="s">
        <v>16</v>
      </c>
      <c r="Q14" s="4" t="s">
        <v>17</v>
      </c>
      <c r="R14" s="4" t="s">
        <v>18</v>
      </c>
      <c r="S14" s="4" t="s">
        <v>19</v>
      </c>
    </row>
    <row r="15">
      <c r="A15" s="5">
        <v>1.0</v>
      </c>
      <c r="B15" s="6">
        <v>5.0</v>
      </c>
      <c r="C15" s="7">
        <v>3.0</v>
      </c>
      <c r="D15" s="7">
        <v>10.0</v>
      </c>
      <c r="E15" s="8">
        <f t="shared" ref="E15:E17" si="5">C15/D15</f>
        <v>0.3</v>
      </c>
      <c r="F15" s="7">
        <v>1.0</v>
      </c>
      <c r="G15" s="7">
        <v>5.0</v>
      </c>
      <c r="H15" s="9">
        <v>0.0</v>
      </c>
      <c r="I15" s="7">
        <v>0.0</v>
      </c>
      <c r="J15" s="7">
        <v>0.0</v>
      </c>
      <c r="K15" s="9">
        <v>0.0</v>
      </c>
      <c r="L15" s="7">
        <v>0.0</v>
      </c>
      <c r="M15" s="7">
        <v>3.0</v>
      </c>
      <c r="N15" s="10">
        <f t="shared" ref="N15:N17" si="6">sum(L15+M15)</f>
        <v>3</v>
      </c>
      <c r="O15" s="7">
        <v>2.0</v>
      </c>
      <c r="P15" s="7">
        <v>1.0</v>
      </c>
      <c r="Q15" s="7">
        <v>0.0</v>
      </c>
      <c r="R15" s="7">
        <v>3.0</v>
      </c>
      <c r="S15" s="7">
        <v>1.0</v>
      </c>
    </row>
    <row r="16">
      <c r="A16" s="5">
        <v>2.0</v>
      </c>
      <c r="B16" s="6">
        <v>2.0</v>
      </c>
      <c r="C16" s="7">
        <v>2.0</v>
      </c>
      <c r="D16" s="7">
        <v>6.0</v>
      </c>
      <c r="E16" s="8">
        <f t="shared" si="5"/>
        <v>0.3333333333</v>
      </c>
      <c r="F16" s="7">
        <v>0.0</v>
      </c>
      <c r="G16" s="7">
        <v>1.0</v>
      </c>
      <c r="H16" s="9">
        <v>0.0</v>
      </c>
      <c r="I16" s="7">
        <v>0.0</v>
      </c>
      <c r="J16" s="7">
        <v>0.0</v>
      </c>
      <c r="K16" s="9">
        <v>0.0</v>
      </c>
      <c r="L16" s="7">
        <v>1.0</v>
      </c>
      <c r="M16" s="7">
        <v>1.0</v>
      </c>
      <c r="N16" s="10">
        <f t="shared" si="6"/>
        <v>2</v>
      </c>
      <c r="O16" s="7">
        <v>0.0</v>
      </c>
      <c r="P16" s="7">
        <v>0.0</v>
      </c>
      <c r="Q16" s="7">
        <v>0.0</v>
      </c>
      <c r="R16" s="7">
        <v>2.0</v>
      </c>
      <c r="S16" s="7">
        <v>2.0</v>
      </c>
    </row>
    <row r="17">
      <c r="A17" s="5">
        <v>4.0</v>
      </c>
      <c r="B17" s="6">
        <v>1.0</v>
      </c>
      <c r="C17" s="7">
        <v>1.0</v>
      </c>
      <c r="D17" s="7">
        <v>4.0</v>
      </c>
      <c r="E17" s="8">
        <f t="shared" si="5"/>
        <v>0.25</v>
      </c>
      <c r="F17" s="7">
        <v>0.0</v>
      </c>
      <c r="G17" s="7">
        <v>0.0</v>
      </c>
      <c r="H17" s="9">
        <v>0.0</v>
      </c>
      <c r="I17" s="7">
        <v>0.0</v>
      </c>
      <c r="J17" s="7">
        <v>0.0</v>
      </c>
      <c r="K17" s="9">
        <v>0.0</v>
      </c>
      <c r="L17" s="7">
        <v>0.0</v>
      </c>
      <c r="M17" s="7">
        <v>5.0</v>
      </c>
      <c r="N17" s="10">
        <f t="shared" si="6"/>
        <v>5</v>
      </c>
      <c r="O17" s="7">
        <v>0.0</v>
      </c>
      <c r="P17" s="7">
        <v>3.0</v>
      </c>
      <c r="Q17" s="7">
        <v>0.0</v>
      </c>
      <c r="R17" s="7">
        <v>1.0</v>
      </c>
      <c r="S17" s="7">
        <v>0.0</v>
      </c>
    </row>
    <row r="18">
      <c r="A18" s="6" t="s">
        <v>20</v>
      </c>
      <c r="B18" s="11">
        <f t="shared" ref="B18:D18" si="7">SUM(B13:B17)</f>
        <v>8</v>
      </c>
      <c r="C18" s="11">
        <f t="shared" si="7"/>
        <v>6</v>
      </c>
      <c r="D18" s="11">
        <f t="shared" si="7"/>
        <v>20</v>
      </c>
      <c r="E18" s="12">
        <f>AVERAGE(E13:E17)</f>
        <v>0.2944444444</v>
      </c>
      <c r="F18" s="26">
        <v>0.0</v>
      </c>
      <c r="G18" s="26">
        <v>0.0</v>
      </c>
      <c r="H18" s="12">
        <f>AVERAGE(H13:H17)</f>
        <v>0</v>
      </c>
      <c r="I18" s="26">
        <v>0.0</v>
      </c>
      <c r="J18" s="26">
        <v>0.0</v>
      </c>
      <c r="K18" s="12">
        <f>AVERAGE(K13:K17)</f>
        <v>0</v>
      </c>
      <c r="L18" s="11">
        <f t="shared" ref="L18:S18" si="8">SUM(L13:L17)</f>
        <v>1</v>
      </c>
      <c r="M18" s="11">
        <f t="shared" si="8"/>
        <v>9</v>
      </c>
      <c r="N18" s="11">
        <f t="shared" si="8"/>
        <v>10</v>
      </c>
      <c r="O18" s="11">
        <f t="shared" si="8"/>
        <v>2</v>
      </c>
      <c r="P18" s="11">
        <f t="shared" si="8"/>
        <v>4</v>
      </c>
      <c r="Q18" s="11">
        <f t="shared" si="8"/>
        <v>0</v>
      </c>
      <c r="R18" s="11">
        <f t="shared" si="8"/>
        <v>6</v>
      </c>
      <c r="S18" s="11">
        <f t="shared" si="8"/>
        <v>3</v>
      </c>
    </row>
    <row r="20">
      <c r="U20" s="17" t="s">
        <v>22</v>
      </c>
      <c r="V20" s="18" t="s">
        <v>31</v>
      </c>
    </row>
    <row r="21">
      <c r="U21" s="17" t="s">
        <v>23</v>
      </c>
      <c r="V21" s="18" t="s">
        <v>0</v>
      </c>
    </row>
    <row r="22">
      <c r="U22" s="17" t="s">
        <v>24</v>
      </c>
      <c r="V22" s="18" t="s">
        <v>39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14.88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7.7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  <col customWidth="1" min="22" max="22" width="29.75"/>
  </cols>
  <sheetData>
    <row r="4">
      <c r="A4" s="1" t="s">
        <v>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2.0</v>
      </c>
      <c r="C6" s="7">
        <v>2.0</v>
      </c>
      <c r="D6" s="7">
        <v>8.0</v>
      </c>
      <c r="E6" s="8">
        <f t="shared" ref="E6:E7" si="1">C6/D6</f>
        <v>0.25</v>
      </c>
      <c r="F6" s="7">
        <v>0.0</v>
      </c>
      <c r="G6" s="7">
        <v>0.0</v>
      </c>
      <c r="H6" s="9">
        <v>0.0</v>
      </c>
      <c r="I6" s="7">
        <v>0.0</v>
      </c>
      <c r="J6" s="7">
        <v>0.0</v>
      </c>
      <c r="K6" s="9">
        <v>0.0</v>
      </c>
      <c r="L6" s="7">
        <v>1.0</v>
      </c>
      <c r="M6" s="7">
        <v>3.0</v>
      </c>
      <c r="N6" s="10">
        <f t="shared" ref="N6:N10" si="2">sum(L6+M6)</f>
        <v>4</v>
      </c>
      <c r="O6" s="7">
        <v>0.0</v>
      </c>
      <c r="P6" s="7">
        <v>2.0</v>
      </c>
      <c r="Q6" s="7">
        <v>1.0</v>
      </c>
      <c r="R6" s="7">
        <v>3.0</v>
      </c>
      <c r="S6" s="7">
        <v>0.0</v>
      </c>
    </row>
    <row r="7">
      <c r="A7" s="5">
        <v>12.0</v>
      </c>
      <c r="B7" s="6">
        <v>1.0</v>
      </c>
      <c r="C7" s="7">
        <v>2.0</v>
      </c>
      <c r="D7" s="7">
        <v>9.0</v>
      </c>
      <c r="E7" s="8">
        <f t="shared" si="1"/>
        <v>0.2222222222</v>
      </c>
      <c r="F7" s="7">
        <v>0.0</v>
      </c>
      <c r="G7" s="7">
        <v>0.0</v>
      </c>
      <c r="H7" s="9">
        <v>0.0</v>
      </c>
      <c r="I7" s="7">
        <v>1.0</v>
      </c>
      <c r="J7" s="7">
        <v>1.0</v>
      </c>
      <c r="K7" s="8">
        <f>I7/J7</f>
        <v>1</v>
      </c>
      <c r="L7" s="7">
        <v>2.0</v>
      </c>
      <c r="M7" s="7">
        <v>4.0</v>
      </c>
      <c r="N7" s="10">
        <f t="shared" si="2"/>
        <v>6</v>
      </c>
      <c r="O7" s="7">
        <v>1.0</v>
      </c>
      <c r="P7" s="7">
        <v>1.0</v>
      </c>
      <c r="Q7" s="7">
        <v>0.0</v>
      </c>
      <c r="R7" s="7">
        <v>2.0</v>
      </c>
      <c r="S7" s="7">
        <v>1.0</v>
      </c>
    </row>
    <row r="8">
      <c r="A8" s="5">
        <v>3.0</v>
      </c>
      <c r="B8" s="6">
        <v>0.0</v>
      </c>
      <c r="C8" s="7">
        <v>0.0</v>
      </c>
      <c r="D8" s="7">
        <v>1.0</v>
      </c>
      <c r="E8" s="9">
        <v>0.0</v>
      </c>
      <c r="F8" s="7">
        <v>0.0</v>
      </c>
      <c r="G8" s="7">
        <v>0.0</v>
      </c>
      <c r="H8" s="9">
        <v>0.0</v>
      </c>
      <c r="I8" s="7">
        <v>0.0</v>
      </c>
      <c r="J8" s="7">
        <v>0.0</v>
      </c>
      <c r="K8" s="9">
        <v>0.0</v>
      </c>
      <c r="L8" s="7">
        <v>0.0</v>
      </c>
      <c r="M8" s="7">
        <v>0.0</v>
      </c>
      <c r="N8" s="10">
        <f t="shared" si="2"/>
        <v>0</v>
      </c>
      <c r="O8" s="7">
        <v>0.0</v>
      </c>
      <c r="P8" s="7">
        <v>0.0</v>
      </c>
      <c r="Q8" s="7">
        <v>0.0</v>
      </c>
      <c r="R8" s="7">
        <v>1.0</v>
      </c>
      <c r="S8" s="7">
        <v>0.0</v>
      </c>
    </row>
    <row r="9">
      <c r="A9" s="5">
        <v>4.0</v>
      </c>
      <c r="B9" s="6">
        <v>0.0</v>
      </c>
      <c r="C9" s="7">
        <v>0.0</v>
      </c>
      <c r="D9" s="7">
        <v>1.0</v>
      </c>
      <c r="E9" s="8">
        <f>C9/D9</f>
        <v>0</v>
      </c>
      <c r="F9" s="7">
        <v>0.0</v>
      </c>
      <c r="G9" s="7">
        <v>0.0</v>
      </c>
      <c r="H9" s="9">
        <v>0.0</v>
      </c>
      <c r="I9" s="7">
        <v>0.0</v>
      </c>
      <c r="J9" s="7">
        <v>0.0</v>
      </c>
      <c r="K9" s="9">
        <v>0.0</v>
      </c>
      <c r="L9" s="7">
        <v>1.0</v>
      </c>
      <c r="M9" s="7">
        <v>1.0</v>
      </c>
      <c r="N9" s="10">
        <f t="shared" si="2"/>
        <v>2</v>
      </c>
      <c r="O9" s="7">
        <v>0.0</v>
      </c>
      <c r="P9" s="7">
        <v>1.0</v>
      </c>
      <c r="Q9" s="7">
        <v>0.0</v>
      </c>
      <c r="R9" s="7">
        <v>0.0</v>
      </c>
      <c r="S9" s="7">
        <v>0.0</v>
      </c>
    </row>
    <row r="10">
      <c r="A10" s="5">
        <v>7.0</v>
      </c>
      <c r="B10" s="6">
        <v>1.0</v>
      </c>
      <c r="C10" s="7">
        <v>1.0</v>
      </c>
      <c r="D10" s="7">
        <v>3.0</v>
      </c>
      <c r="E10" s="9">
        <v>0.0</v>
      </c>
      <c r="F10" s="7">
        <v>0.0</v>
      </c>
      <c r="G10" s="7">
        <v>0.0</v>
      </c>
      <c r="H10" s="9">
        <v>0.0</v>
      </c>
      <c r="I10" s="7">
        <v>0.0</v>
      </c>
      <c r="J10" s="7">
        <v>0.0</v>
      </c>
      <c r="K10" s="9">
        <v>0.0</v>
      </c>
      <c r="L10" s="7">
        <v>0.0</v>
      </c>
      <c r="M10" s="7">
        <v>1.0</v>
      </c>
      <c r="N10" s="10">
        <f t="shared" si="2"/>
        <v>1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</row>
    <row r="11">
      <c r="A11" s="6" t="s">
        <v>20</v>
      </c>
      <c r="B11" s="11">
        <f t="shared" ref="B11:D11" si="3">SUM(B6:B10)</f>
        <v>4</v>
      </c>
      <c r="C11" s="11">
        <f t="shared" si="3"/>
        <v>5</v>
      </c>
      <c r="D11" s="11">
        <f t="shared" si="3"/>
        <v>22</v>
      </c>
      <c r="E11" s="12">
        <f>AVERAGE(E6:E10)</f>
        <v>0.09444444444</v>
      </c>
      <c r="F11" s="26">
        <v>0.0</v>
      </c>
      <c r="G11" s="26">
        <v>0.0</v>
      </c>
      <c r="H11" s="12">
        <f>AVERAGE(H6:H10)</f>
        <v>0</v>
      </c>
      <c r="I11" s="26">
        <v>0.0</v>
      </c>
      <c r="J11" s="11">
        <v>0.0</v>
      </c>
      <c r="K11" s="12">
        <f>AVERAGE(K6:K10)</f>
        <v>0.2</v>
      </c>
      <c r="L11" s="11">
        <f t="shared" ref="L11:S11" si="4">SUM(L6:L10)</f>
        <v>4</v>
      </c>
      <c r="M11" s="11">
        <f t="shared" si="4"/>
        <v>9</v>
      </c>
      <c r="N11" s="11">
        <f t="shared" si="4"/>
        <v>13</v>
      </c>
      <c r="O11" s="11">
        <f t="shared" si="4"/>
        <v>1</v>
      </c>
      <c r="P11" s="11">
        <f t="shared" si="4"/>
        <v>4</v>
      </c>
      <c r="Q11" s="11">
        <f t="shared" si="4"/>
        <v>1</v>
      </c>
      <c r="R11" s="11">
        <f t="shared" si="4"/>
        <v>6</v>
      </c>
      <c r="S11" s="11">
        <f t="shared" si="4"/>
        <v>1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4"/>
      <c r="P12" s="2"/>
      <c r="Q12" s="2"/>
      <c r="R12" s="2"/>
      <c r="S12" s="2"/>
    </row>
    <row r="13">
      <c r="A13" s="15" t="s">
        <v>29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16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  <c r="K14" s="4" t="s">
        <v>11</v>
      </c>
      <c r="L14" s="4" t="s">
        <v>12</v>
      </c>
      <c r="M14" s="4" t="s">
        <v>13</v>
      </c>
      <c r="N14" s="4" t="s">
        <v>14</v>
      </c>
      <c r="O14" s="4" t="s">
        <v>15</v>
      </c>
      <c r="P14" s="4" t="s">
        <v>16</v>
      </c>
      <c r="Q14" s="4" t="s">
        <v>17</v>
      </c>
      <c r="R14" s="4" t="s">
        <v>18</v>
      </c>
      <c r="S14" s="4" t="s">
        <v>19</v>
      </c>
    </row>
    <row r="15">
      <c r="A15" s="5">
        <v>1.0</v>
      </c>
      <c r="B15" s="6">
        <v>3.0</v>
      </c>
      <c r="C15" s="7">
        <v>2.0</v>
      </c>
      <c r="D15" s="7">
        <v>14.0</v>
      </c>
      <c r="E15" s="8">
        <f t="shared" ref="E15:E18" si="5">C15/D15</f>
        <v>0.1428571429</v>
      </c>
      <c r="F15" s="7">
        <v>1.0</v>
      </c>
      <c r="G15" s="7">
        <v>7.0</v>
      </c>
      <c r="H15" s="9">
        <v>0.0</v>
      </c>
      <c r="I15" s="7">
        <v>0.0</v>
      </c>
      <c r="J15" s="7">
        <v>0.0</v>
      </c>
      <c r="K15" s="9">
        <v>0.0</v>
      </c>
      <c r="L15" s="7">
        <v>0.0</v>
      </c>
      <c r="M15" s="7">
        <v>3.0</v>
      </c>
      <c r="N15" s="10">
        <f t="shared" ref="N15:N18" si="6">sum(L15+M15)</f>
        <v>3</v>
      </c>
      <c r="O15" s="7">
        <v>2.0</v>
      </c>
      <c r="P15" s="7">
        <v>1.0</v>
      </c>
      <c r="Q15" s="7">
        <v>0.0</v>
      </c>
      <c r="R15" s="7">
        <v>3.0</v>
      </c>
      <c r="S15" s="7">
        <v>1.0</v>
      </c>
    </row>
    <row r="16">
      <c r="A16" s="5">
        <v>2.0</v>
      </c>
      <c r="B16" s="6">
        <v>2.0</v>
      </c>
      <c r="C16" s="7">
        <v>2.0</v>
      </c>
      <c r="D16" s="7">
        <v>6.0</v>
      </c>
      <c r="E16" s="8">
        <f t="shared" si="5"/>
        <v>0.3333333333</v>
      </c>
      <c r="F16" s="7">
        <v>0.0</v>
      </c>
      <c r="G16" s="7">
        <v>1.0</v>
      </c>
      <c r="H16" s="9">
        <v>0.0</v>
      </c>
      <c r="I16" s="7">
        <v>0.0</v>
      </c>
      <c r="J16" s="7">
        <v>0.0</v>
      </c>
      <c r="K16" s="9">
        <v>0.0</v>
      </c>
      <c r="L16" s="7">
        <v>1.0</v>
      </c>
      <c r="M16" s="7">
        <v>1.0</v>
      </c>
      <c r="N16" s="10">
        <f t="shared" si="6"/>
        <v>2</v>
      </c>
      <c r="O16" s="7">
        <v>0.0</v>
      </c>
      <c r="P16" s="7">
        <v>0.0</v>
      </c>
      <c r="Q16" s="7">
        <v>0.0</v>
      </c>
      <c r="R16" s="7">
        <v>2.0</v>
      </c>
      <c r="S16" s="7">
        <v>2.0</v>
      </c>
    </row>
    <row r="17">
      <c r="A17" s="5">
        <v>3.0</v>
      </c>
      <c r="B17" s="6">
        <v>1.0</v>
      </c>
      <c r="C17" s="7">
        <v>1.0</v>
      </c>
      <c r="D17" s="7">
        <v>4.0</v>
      </c>
      <c r="E17" s="8">
        <f t="shared" si="5"/>
        <v>0.25</v>
      </c>
      <c r="F17" s="7">
        <v>0.0</v>
      </c>
      <c r="G17" s="7">
        <v>0.0</v>
      </c>
      <c r="H17" s="9">
        <v>0.0</v>
      </c>
      <c r="I17" s="7">
        <v>0.0</v>
      </c>
      <c r="J17" s="7">
        <v>0.0</v>
      </c>
      <c r="K17" s="9">
        <v>0.0</v>
      </c>
      <c r="L17" s="7">
        <v>2.0</v>
      </c>
      <c r="M17" s="7">
        <v>4.0</v>
      </c>
      <c r="N17" s="10">
        <f t="shared" si="6"/>
        <v>6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</row>
    <row r="18">
      <c r="A18" s="5">
        <v>4.0</v>
      </c>
      <c r="B18" s="6">
        <v>1.0</v>
      </c>
      <c r="C18" s="7">
        <v>1.0</v>
      </c>
      <c r="D18" s="7">
        <v>4.0</v>
      </c>
      <c r="E18" s="8">
        <f t="shared" si="5"/>
        <v>0.25</v>
      </c>
      <c r="F18" s="7">
        <v>0.0</v>
      </c>
      <c r="G18" s="7">
        <v>0.0</v>
      </c>
      <c r="H18" s="9">
        <v>0.0</v>
      </c>
      <c r="I18" s="7">
        <v>0.0</v>
      </c>
      <c r="J18" s="7">
        <v>0.0</v>
      </c>
      <c r="K18" s="9">
        <v>0.0</v>
      </c>
      <c r="L18" s="7">
        <v>0.0</v>
      </c>
      <c r="M18" s="7">
        <v>5.0</v>
      </c>
      <c r="N18" s="10">
        <f t="shared" si="6"/>
        <v>5</v>
      </c>
      <c r="O18" s="7">
        <v>0.0</v>
      </c>
      <c r="P18" s="7">
        <v>3.0</v>
      </c>
      <c r="Q18" s="7">
        <v>0.0</v>
      </c>
      <c r="R18" s="7">
        <v>1.0</v>
      </c>
      <c r="S18" s="7">
        <v>0.0</v>
      </c>
    </row>
    <row r="19">
      <c r="A19" s="6" t="s">
        <v>20</v>
      </c>
      <c r="B19" s="11">
        <f t="shared" ref="B19:D19" si="7">SUM(B14:B18)</f>
        <v>7</v>
      </c>
      <c r="C19" s="11">
        <f t="shared" si="7"/>
        <v>6</v>
      </c>
      <c r="D19" s="11">
        <f t="shared" si="7"/>
        <v>28</v>
      </c>
      <c r="E19" s="12">
        <f>AVERAGE(E14:E18)</f>
        <v>0.244047619</v>
      </c>
      <c r="F19" s="26">
        <v>0.0</v>
      </c>
      <c r="G19" s="26">
        <v>0.0</v>
      </c>
      <c r="H19" s="12">
        <f>AVERAGE(H14:H18)</f>
        <v>0</v>
      </c>
      <c r="I19" s="26">
        <v>0.0</v>
      </c>
      <c r="J19" s="26">
        <v>0.0</v>
      </c>
      <c r="K19" s="12">
        <f>AVERAGE(K14:K18)</f>
        <v>0</v>
      </c>
      <c r="L19" s="11">
        <f t="shared" ref="L19:S19" si="8">SUM(L14:L18)</f>
        <v>3</v>
      </c>
      <c r="M19" s="11">
        <f t="shared" si="8"/>
        <v>13</v>
      </c>
      <c r="N19" s="11">
        <f t="shared" si="8"/>
        <v>16</v>
      </c>
      <c r="O19" s="11">
        <f t="shared" si="8"/>
        <v>2</v>
      </c>
      <c r="P19" s="11">
        <f t="shared" si="8"/>
        <v>4</v>
      </c>
      <c r="Q19" s="11">
        <f t="shared" si="8"/>
        <v>0</v>
      </c>
      <c r="R19" s="11">
        <f t="shared" si="8"/>
        <v>6</v>
      </c>
      <c r="S19" s="11">
        <f t="shared" si="8"/>
        <v>3</v>
      </c>
    </row>
    <row r="21">
      <c r="U21" s="17" t="s">
        <v>22</v>
      </c>
      <c r="V21" s="18" t="s">
        <v>29</v>
      </c>
    </row>
    <row r="22">
      <c r="U22" s="17" t="s">
        <v>23</v>
      </c>
      <c r="V22" s="18" t="s">
        <v>0</v>
      </c>
    </row>
    <row r="23">
      <c r="U23" s="17" t="s">
        <v>24</v>
      </c>
      <c r="V23" s="18" t="s">
        <v>40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63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  <col customWidth="1" min="22" max="22" width="26.0"/>
  </cols>
  <sheetData>
    <row r="4">
      <c r="A4" s="1" t="s">
        <v>30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4.0</v>
      </c>
      <c r="C6" s="7">
        <v>3.0</v>
      </c>
      <c r="D6" s="7">
        <v>11.0</v>
      </c>
      <c r="E6" s="8">
        <f t="shared" ref="E6:E8" si="1">C6/D6</f>
        <v>0.2727272727</v>
      </c>
      <c r="F6" s="7">
        <v>1.0</v>
      </c>
      <c r="G6" s="7">
        <v>5.0</v>
      </c>
      <c r="H6" s="8">
        <f>F6/G6</f>
        <v>0.2</v>
      </c>
      <c r="I6" s="7">
        <v>0.0</v>
      </c>
      <c r="J6" s="7">
        <v>0.0</v>
      </c>
      <c r="K6" s="9">
        <v>0.0</v>
      </c>
      <c r="L6" s="7">
        <v>0.0</v>
      </c>
      <c r="M6" s="7">
        <v>3.0</v>
      </c>
      <c r="N6" s="10">
        <f t="shared" ref="N6:N8" si="2">sum(L6+M6)</f>
        <v>3</v>
      </c>
      <c r="O6" s="7">
        <v>0.0</v>
      </c>
      <c r="P6" s="7">
        <v>0.0</v>
      </c>
      <c r="Q6" s="7">
        <v>0.0</v>
      </c>
      <c r="R6" s="7">
        <v>3.0</v>
      </c>
      <c r="S6" s="7">
        <v>2.0</v>
      </c>
    </row>
    <row r="7">
      <c r="A7" s="5">
        <v>2.0</v>
      </c>
      <c r="B7" s="6">
        <v>2.0</v>
      </c>
      <c r="C7" s="7">
        <v>2.0</v>
      </c>
      <c r="D7" s="7">
        <v>7.0</v>
      </c>
      <c r="E7" s="8">
        <f t="shared" si="1"/>
        <v>0.2857142857</v>
      </c>
      <c r="F7" s="7">
        <v>0.0</v>
      </c>
      <c r="G7" s="7">
        <v>1.0</v>
      </c>
      <c r="H7" s="9">
        <v>0.0</v>
      </c>
      <c r="I7" s="7">
        <v>0.0</v>
      </c>
      <c r="J7" s="7">
        <v>0.0</v>
      </c>
      <c r="K7" s="9">
        <v>0.0</v>
      </c>
      <c r="L7" s="7">
        <v>0.0</v>
      </c>
      <c r="M7" s="7">
        <v>2.0</v>
      </c>
      <c r="N7" s="10">
        <f t="shared" si="2"/>
        <v>2</v>
      </c>
      <c r="O7" s="7">
        <v>1.0</v>
      </c>
      <c r="P7" s="7">
        <v>0.0</v>
      </c>
      <c r="Q7" s="7">
        <v>0.0</v>
      </c>
      <c r="R7" s="7">
        <v>1.0</v>
      </c>
      <c r="S7" s="7">
        <v>6.0</v>
      </c>
    </row>
    <row r="8">
      <c r="A8" s="5">
        <v>3.0</v>
      </c>
      <c r="B8" s="6">
        <v>1.0</v>
      </c>
      <c r="C8" s="7">
        <v>1.0</v>
      </c>
      <c r="D8" s="7">
        <v>3.0</v>
      </c>
      <c r="E8" s="8">
        <f t="shared" si="1"/>
        <v>0.3333333333</v>
      </c>
      <c r="F8" s="7">
        <v>0.0</v>
      </c>
      <c r="G8" s="7">
        <v>0.0</v>
      </c>
      <c r="H8" s="9">
        <v>0.0</v>
      </c>
      <c r="I8" s="7">
        <v>0.0</v>
      </c>
      <c r="J8" s="7">
        <v>0.0</v>
      </c>
      <c r="K8" s="9">
        <v>0.0</v>
      </c>
      <c r="L8" s="7">
        <v>1.0</v>
      </c>
      <c r="M8" s="7">
        <v>3.0</v>
      </c>
      <c r="N8" s="10">
        <f t="shared" si="2"/>
        <v>4</v>
      </c>
      <c r="O8" s="7">
        <v>1.0</v>
      </c>
      <c r="P8" s="7">
        <v>0.0</v>
      </c>
      <c r="Q8" s="7">
        <v>0.0</v>
      </c>
      <c r="R8" s="7">
        <v>2.0</v>
      </c>
      <c r="S8" s="7">
        <v>1.0</v>
      </c>
    </row>
    <row r="9">
      <c r="A9" s="6" t="s">
        <v>20</v>
      </c>
      <c r="B9" s="11">
        <f t="shared" ref="B9:D9" si="3">SUM(B4:B8)</f>
        <v>7</v>
      </c>
      <c r="C9" s="11">
        <f t="shared" si="3"/>
        <v>6</v>
      </c>
      <c r="D9" s="11">
        <f t="shared" si="3"/>
        <v>21</v>
      </c>
      <c r="E9" s="12">
        <f>AVERAGE(E4:E8)</f>
        <v>0.2972582973</v>
      </c>
      <c r="F9" s="11">
        <v>0.0</v>
      </c>
      <c r="G9" s="11">
        <v>0.0</v>
      </c>
      <c r="H9" s="12">
        <f>AVERAGE(H4:H8)</f>
        <v>0.06666666667</v>
      </c>
      <c r="I9" s="26">
        <v>0.0</v>
      </c>
      <c r="J9" s="26">
        <v>0.0</v>
      </c>
      <c r="K9" s="12">
        <f>AVERAGE(K4:K8)</f>
        <v>0</v>
      </c>
      <c r="L9" s="11">
        <f t="shared" ref="L9:S9" si="4">SUM(L4:L8)</f>
        <v>1</v>
      </c>
      <c r="M9" s="11">
        <f t="shared" si="4"/>
        <v>8</v>
      </c>
      <c r="N9" s="11">
        <f t="shared" si="4"/>
        <v>9</v>
      </c>
      <c r="O9" s="11">
        <f t="shared" si="4"/>
        <v>2</v>
      </c>
      <c r="P9" s="11">
        <f t="shared" si="4"/>
        <v>0</v>
      </c>
      <c r="Q9" s="11">
        <f t="shared" si="4"/>
        <v>0</v>
      </c>
      <c r="R9" s="11">
        <f t="shared" si="4"/>
        <v>6</v>
      </c>
      <c r="S9" s="11">
        <f t="shared" si="4"/>
        <v>9</v>
      </c>
    </row>
    <row r="10">
      <c r="A10" s="2"/>
      <c r="B10" s="2"/>
      <c r="C10" s="2"/>
      <c r="D10" s="2"/>
      <c r="E10" s="2"/>
      <c r="F10" s="14"/>
      <c r="G10" s="2"/>
      <c r="H10" s="2"/>
      <c r="I10" s="2"/>
      <c r="J10" s="2"/>
      <c r="K10" s="2"/>
      <c r="L10" s="2"/>
      <c r="M10" s="2"/>
      <c r="N10" s="2"/>
      <c r="O10" s="14"/>
      <c r="P10" s="2"/>
      <c r="Q10" s="2"/>
      <c r="R10" s="2"/>
      <c r="S10" s="2"/>
    </row>
    <row r="11">
      <c r="A11" s="15" t="s">
        <v>28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6" t="s">
        <v>1</v>
      </c>
      <c r="B12" s="4" t="s">
        <v>2</v>
      </c>
      <c r="C12" s="4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  <c r="J12" s="4" t="s">
        <v>10</v>
      </c>
      <c r="K12" s="4" t="s">
        <v>11</v>
      </c>
      <c r="L12" s="4" t="s">
        <v>12</v>
      </c>
      <c r="M12" s="4" t="s">
        <v>13</v>
      </c>
      <c r="N12" s="4" t="s">
        <v>14</v>
      </c>
      <c r="O12" s="4" t="s">
        <v>15</v>
      </c>
      <c r="P12" s="4" t="s">
        <v>16</v>
      </c>
      <c r="Q12" s="4" t="s">
        <v>17</v>
      </c>
      <c r="R12" s="4" t="s">
        <v>18</v>
      </c>
      <c r="S12" s="4" t="s">
        <v>19</v>
      </c>
    </row>
    <row r="13">
      <c r="A13" s="5">
        <v>1.0</v>
      </c>
      <c r="B13" s="6">
        <v>2.0</v>
      </c>
      <c r="C13" s="7">
        <v>2.0</v>
      </c>
      <c r="D13" s="7">
        <v>2.0</v>
      </c>
      <c r="E13" s="8">
        <f t="shared" ref="E13:E14" si="5">C13/D13</f>
        <v>1</v>
      </c>
      <c r="F13" s="7">
        <v>0.0</v>
      </c>
      <c r="G13" s="7">
        <v>0.0</v>
      </c>
      <c r="H13" s="9">
        <v>0.0</v>
      </c>
      <c r="I13" s="7">
        <v>0.0</v>
      </c>
      <c r="J13" s="7">
        <v>0.0</v>
      </c>
      <c r="K13" s="9">
        <v>0.0</v>
      </c>
      <c r="L13" s="7">
        <v>1.0</v>
      </c>
      <c r="M13" s="7">
        <v>1.0</v>
      </c>
      <c r="N13" s="10">
        <f t="shared" ref="N13:N17" si="6">sum(L13+M13)</f>
        <v>2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</row>
    <row r="14">
      <c r="A14" s="5">
        <v>2.0</v>
      </c>
      <c r="B14" s="6">
        <v>4.0</v>
      </c>
      <c r="C14" s="7">
        <v>3.0</v>
      </c>
      <c r="D14" s="7">
        <v>8.0</v>
      </c>
      <c r="E14" s="8">
        <f t="shared" si="5"/>
        <v>0.375</v>
      </c>
      <c r="F14" s="7">
        <v>0.0</v>
      </c>
      <c r="G14" s="7">
        <v>0.0</v>
      </c>
      <c r="H14" s="9">
        <v>0.0</v>
      </c>
      <c r="I14" s="7">
        <v>1.0</v>
      </c>
      <c r="J14" s="7">
        <v>3.0</v>
      </c>
      <c r="K14" s="8">
        <f>I14/J14</f>
        <v>0.3333333333</v>
      </c>
      <c r="L14" s="7">
        <v>1.0</v>
      </c>
      <c r="M14" s="7">
        <v>6.0</v>
      </c>
      <c r="N14" s="10">
        <f t="shared" si="6"/>
        <v>7</v>
      </c>
      <c r="O14" s="7">
        <v>1.0</v>
      </c>
      <c r="P14" s="7">
        <v>0.0</v>
      </c>
      <c r="Q14" s="7">
        <v>0.0</v>
      </c>
      <c r="R14" s="7">
        <v>1.0</v>
      </c>
      <c r="S14" s="7">
        <v>1.0</v>
      </c>
    </row>
    <row r="15">
      <c r="A15" s="5">
        <v>3.0</v>
      </c>
      <c r="B15" s="6">
        <v>1.0</v>
      </c>
      <c r="C15" s="7">
        <v>1.0</v>
      </c>
      <c r="D15" s="7">
        <v>2.0</v>
      </c>
      <c r="E15" s="9">
        <v>0.0</v>
      </c>
      <c r="F15" s="7">
        <v>0.0</v>
      </c>
      <c r="G15" s="7">
        <v>0.0</v>
      </c>
      <c r="H15" s="9">
        <v>0.0</v>
      </c>
      <c r="I15" s="7">
        <v>0.0</v>
      </c>
      <c r="J15" s="7">
        <v>0.0</v>
      </c>
      <c r="K15" s="9">
        <v>0.0</v>
      </c>
      <c r="L15" s="7">
        <v>0.0</v>
      </c>
      <c r="M15" s="7">
        <v>2.0</v>
      </c>
      <c r="N15" s="10">
        <f t="shared" si="6"/>
        <v>2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</row>
    <row r="16">
      <c r="A16" s="19">
        <v>5.0</v>
      </c>
      <c r="B16" s="20">
        <v>1.0</v>
      </c>
      <c r="C16" s="21">
        <v>1.0</v>
      </c>
      <c r="D16" s="21">
        <v>3.0</v>
      </c>
      <c r="E16" s="8">
        <f>C16/D16</f>
        <v>0.3333333333</v>
      </c>
      <c r="F16" s="21">
        <v>0.0</v>
      </c>
      <c r="G16" s="21">
        <v>0.0</v>
      </c>
      <c r="H16" s="9">
        <v>0.0</v>
      </c>
      <c r="I16" s="21">
        <v>0.0</v>
      </c>
      <c r="J16" s="21">
        <v>0.0</v>
      </c>
      <c r="K16" s="22">
        <v>0.0</v>
      </c>
      <c r="L16" s="21">
        <v>1.0</v>
      </c>
      <c r="M16" s="21">
        <v>2.0</v>
      </c>
      <c r="N16" s="10">
        <f t="shared" si="6"/>
        <v>3</v>
      </c>
      <c r="O16" s="21">
        <v>1.0</v>
      </c>
      <c r="P16" s="21">
        <v>1.0</v>
      </c>
      <c r="Q16" s="21">
        <v>0.0</v>
      </c>
      <c r="R16" s="21">
        <v>1.0</v>
      </c>
      <c r="S16" s="21">
        <v>0.0</v>
      </c>
    </row>
    <row r="17">
      <c r="A17" s="19">
        <v>4.0</v>
      </c>
      <c r="B17" s="20">
        <v>0.0</v>
      </c>
      <c r="C17" s="21">
        <v>0.0</v>
      </c>
      <c r="D17" s="21">
        <v>2.0</v>
      </c>
      <c r="E17" s="9">
        <v>0.0</v>
      </c>
      <c r="F17" s="21">
        <v>0.0</v>
      </c>
      <c r="G17" s="21">
        <v>0.0</v>
      </c>
      <c r="H17" s="9">
        <v>0.0</v>
      </c>
      <c r="I17" s="21">
        <v>0.0</v>
      </c>
      <c r="J17" s="21">
        <v>0.0</v>
      </c>
      <c r="K17" s="22">
        <v>0.0</v>
      </c>
      <c r="L17" s="21">
        <v>0.0</v>
      </c>
      <c r="M17" s="21">
        <v>1.0</v>
      </c>
      <c r="N17" s="10">
        <f t="shared" si="6"/>
        <v>1</v>
      </c>
      <c r="O17" s="21">
        <v>0.0</v>
      </c>
      <c r="P17" s="21">
        <v>1.0</v>
      </c>
      <c r="Q17" s="21">
        <v>0.0</v>
      </c>
      <c r="R17" s="21">
        <v>1.0</v>
      </c>
      <c r="S17" s="21">
        <v>1.0</v>
      </c>
    </row>
    <row r="18">
      <c r="A18" s="6" t="s">
        <v>20</v>
      </c>
      <c r="B18" s="11">
        <f t="shared" ref="B18:D18" si="7">SUM(B13:B17)</f>
        <v>8</v>
      </c>
      <c r="C18" s="11">
        <f t="shared" si="7"/>
        <v>7</v>
      </c>
      <c r="D18" s="11">
        <f t="shared" si="7"/>
        <v>17</v>
      </c>
      <c r="E18" s="12">
        <f>AVERAGE(E13:E17)</f>
        <v>0.3416666667</v>
      </c>
      <c r="F18" s="11">
        <v>0.0</v>
      </c>
      <c r="G18" s="11">
        <v>0.0</v>
      </c>
      <c r="H18" s="12">
        <f>AVERAGE(H13:H17)</f>
        <v>0</v>
      </c>
      <c r="I18" s="11">
        <v>0.0</v>
      </c>
      <c r="J18" s="11">
        <v>0.0</v>
      </c>
      <c r="K18" s="12">
        <f>AVERAGE(K13:K17)</f>
        <v>0.06666666667</v>
      </c>
      <c r="L18" s="11">
        <f t="shared" ref="L18:S18" si="8">SUM(L13:L17)</f>
        <v>3</v>
      </c>
      <c r="M18" s="11">
        <f t="shared" si="8"/>
        <v>12</v>
      </c>
      <c r="N18" s="11">
        <f t="shared" si="8"/>
        <v>15</v>
      </c>
      <c r="O18" s="11">
        <f t="shared" si="8"/>
        <v>2</v>
      </c>
      <c r="P18" s="11">
        <f t="shared" si="8"/>
        <v>2</v>
      </c>
      <c r="Q18" s="11">
        <f t="shared" si="8"/>
        <v>0</v>
      </c>
      <c r="R18" s="11">
        <f t="shared" si="8"/>
        <v>3</v>
      </c>
      <c r="S18" s="11">
        <f t="shared" si="8"/>
        <v>2</v>
      </c>
    </row>
    <row r="20">
      <c r="U20" s="17" t="s">
        <v>22</v>
      </c>
      <c r="V20" s="18" t="s">
        <v>41</v>
      </c>
    </row>
    <row r="21">
      <c r="U21" s="17" t="s">
        <v>23</v>
      </c>
      <c r="V21" s="18" t="s">
        <v>30</v>
      </c>
    </row>
    <row r="22">
      <c r="U22" s="17" t="s">
        <v>24</v>
      </c>
      <c r="V22" s="18" t="s">
        <v>42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.25"/>
    <col customWidth="1" min="3" max="3" width="4.75"/>
    <col customWidth="1" min="4" max="4" width="4.5"/>
    <col customWidth="1" min="5" max="5" width="7.63"/>
    <col customWidth="1" min="6" max="6" width="5.5"/>
    <col customWidth="1" min="7" max="7" width="4.13"/>
    <col customWidth="1" min="8" max="8" width="6.63"/>
    <col customWidth="1" min="9" max="9" width="4.38"/>
    <col customWidth="1" min="10" max="10" width="4.13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  <col customWidth="1" min="22" max="22" width="21.0"/>
  </cols>
  <sheetData>
    <row r="4">
      <c r="A4" s="1" t="s">
        <v>28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</row>
    <row r="6">
      <c r="A6" s="5">
        <v>1.0</v>
      </c>
      <c r="B6" s="6">
        <v>2.0</v>
      </c>
      <c r="C6" s="7">
        <v>2.0</v>
      </c>
      <c r="D6" s="7">
        <v>5.0</v>
      </c>
      <c r="E6" s="8">
        <f t="shared" ref="E6:E10" si="1">C6/D6</f>
        <v>0.4</v>
      </c>
      <c r="F6" s="7">
        <v>0.0</v>
      </c>
      <c r="G6" s="7">
        <v>0.0</v>
      </c>
      <c r="H6" s="9">
        <v>0.0</v>
      </c>
      <c r="I6" s="7">
        <v>0.0</v>
      </c>
      <c r="J6" s="7">
        <v>0.0</v>
      </c>
      <c r="K6" s="9">
        <v>0.0</v>
      </c>
      <c r="L6" s="7">
        <v>2.0</v>
      </c>
      <c r="M6" s="7">
        <v>1.0</v>
      </c>
      <c r="N6" s="10">
        <f t="shared" ref="N6:N9" si="2">sum(L6+M6)</f>
        <v>3</v>
      </c>
      <c r="O6" s="7">
        <v>1.0</v>
      </c>
      <c r="P6" s="7">
        <v>1.0</v>
      </c>
      <c r="Q6" s="7">
        <v>0.0</v>
      </c>
      <c r="R6" s="7">
        <v>1.0</v>
      </c>
      <c r="S6" s="7">
        <v>0.0</v>
      </c>
    </row>
    <row r="7">
      <c r="A7" s="5">
        <v>2.0</v>
      </c>
      <c r="B7" s="6">
        <v>5.0</v>
      </c>
      <c r="C7" s="7">
        <v>5.0</v>
      </c>
      <c r="D7" s="7">
        <v>10.0</v>
      </c>
      <c r="E7" s="8">
        <f t="shared" si="1"/>
        <v>0.5</v>
      </c>
      <c r="F7" s="7">
        <v>0.0</v>
      </c>
      <c r="G7" s="7">
        <v>0.0</v>
      </c>
      <c r="H7" s="9">
        <v>0.0</v>
      </c>
      <c r="I7" s="7">
        <v>0.0</v>
      </c>
      <c r="J7" s="7">
        <v>0.0</v>
      </c>
      <c r="K7" s="9">
        <v>0.0</v>
      </c>
      <c r="L7" s="7">
        <v>2.0</v>
      </c>
      <c r="M7" s="7">
        <v>5.0</v>
      </c>
      <c r="N7" s="10">
        <f t="shared" si="2"/>
        <v>7</v>
      </c>
      <c r="O7" s="7">
        <v>2.0</v>
      </c>
      <c r="P7" s="7">
        <v>0.0</v>
      </c>
      <c r="Q7" s="7">
        <v>0.0</v>
      </c>
      <c r="R7" s="7">
        <v>2.0</v>
      </c>
      <c r="S7" s="7">
        <v>1.0</v>
      </c>
    </row>
    <row r="8">
      <c r="A8" s="5">
        <v>3.0</v>
      </c>
      <c r="B8" s="6">
        <v>2.0</v>
      </c>
      <c r="C8" s="7">
        <v>2.0</v>
      </c>
      <c r="D8" s="7">
        <v>2.0</v>
      </c>
      <c r="E8" s="8">
        <f t="shared" si="1"/>
        <v>1</v>
      </c>
      <c r="F8" s="7">
        <v>0.0</v>
      </c>
      <c r="G8" s="7">
        <v>0.0</v>
      </c>
      <c r="H8" s="9">
        <v>0.0</v>
      </c>
      <c r="I8" s="7">
        <v>0.0</v>
      </c>
      <c r="J8" s="7">
        <v>0.0</v>
      </c>
      <c r="K8" s="9">
        <v>0.0</v>
      </c>
      <c r="L8" s="7">
        <v>2.0</v>
      </c>
      <c r="M8" s="7">
        <v>0.0</v>
      </c>
      <c r="N8" s="10">
        <f t="shared" si="2"/>
        <v>2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</row>
    <row r="9">
      <c r="A9" s="5">
        <v>5.0</v>
      </c>
      <c r="B9" s="6">
        <v>1.0</v>
      </c>
      <c r="C9" s="7">
        <v>1.0</v>
      </c>
      <c r="D9" s="7">
        <v>2.0</v>
      </c>
      <c r="E9" s="8">
        <f t="shared" si="1"/>
        <v>0.5</v>
      </c>
      <c r="F9" s="7">
        <v>0.0</v>
      </c>
      <c r="G9" s="7">
        <v>0.0</v>
      </c>
      <c r="H9" s="9">
        <v>0.0</v>
      </c>
      <c r="I9" s="7">
        <v>0.0</v>
      </c>
      <c r="J9" s="7">
        <v>0.0</v>
      </c>
      <c r="K9" s="9">
        <v>0.0</v>
      </c>
      <c r="L9" s="7">
        <v>1.0</v>
      </c>
      <c r="M9" s="7">
        <v>0.0</v>
      </c>
      <c r="N9" s="10">
        <f t="shared" si="2"/>
        <v>1</v>
      </c>
      <c r="O9" s="7">
        <v>0.0</v>
      </c>
      <c r="P9" s="7">
        <v>0.0</v>
      </c>
      <c r="Q9" s="7">
        <v>0.0</v>
      </c>
      <c r="R9" s="7">
        <v>1.0</v>
      </c>
      <c r="S9" s="7">
        <v>1.0</v>
      </c>
    </row>
    <row r="10">
      <c r="A10" s="5">
        <v>4.0</v>
      </c>
      <c r="B10" s="6">
        <v>1.0</v>
      </c>
      <c r="C10" s="7">
        <v>1.0</v>
      </c>
      <c r="D10" s="7">
        <v>2.0</v>
      </c>
      <c r="E10" s="8">
        <f t="shared" si="1"/>
        <v>0.5</v>
      </c>
      <c r="F10" s="7">
        <v>0.0</v>
      </c>
      <c r="G10" s="7">
        <v>0.0</v>
      </c>
      <c r="H10" s="9">
        <v>0.0</v>
      </c>
      <c r="I10" s="7">
        <v>0.0</v>
      </c>
      <c r="J10" s="7">
        <v>0.0</v>
      </c>
      <c r="K10" s="9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1.0</v>
      </c>
      <c r="S10" s="7">
        <v>0.0</v>
      </c>
    </row>
    <row r="11">
      <c r="A11" s="6" t="s">
        <v>20</v>
      </c>
      <c r="B11" s="11">
        <f t="shared" ref="B11:D11" si="3">SUM(B6:B10)</f>
        <v>11</v>
      </c>
      <c r="C11" s="11">
        <f t="shared" si="3"/>
        <v>11</v>
      </c>
      <c r="D11" s="11">
        <f t="shared" si="3"/>
        <v>21</v>
      </c>
      <c r="E11" s="12">
        <f>AVERAGE(E6:E10)</f>
        <v>0.58</v>
      </c>
      <c r="F11" s="26">
        <v>0.0</v>
      </c>
      <c r="G11" s="26">
        <v>0.0</v>
      </c>
      <c r="H11" s="12">
        <f>AVERAGE(H6:H10)</f>
        <v>0</v>
      </c>
      <c r="I11" s="26">
        <v>0.0</v>
      </c>
      <c r="J11" s="26">
        <v>0.0</v>
      </c>
      <c r="K11" s="12">
        <f>AVERAGE(K6:K10)</f>
        <v>0</v>
      </c>
      <c r="L11" s="11">
        <f t="shared" ref="L11:S11" si="4">SUM(L6:L10)</f>
        <v>7</v>
      </c>
      <c r="M11" s="11">
        <f t="shared" si="4"/>
        <v>6</v>
      </c>
      <c r="N11" s="11">
        <f t="shared" si="4"/>
        <v>13</v>
      </c>
      <c r="O11" s="11">
        <f t="shared" si="4"/>
        <v>3</v>
      </c>
      <c r="P11" s="11">
        <f t="shared" si="4"/>
        <v>1</v>
      </c>
      <c r="Q11" s="11">
        <f t="shared" si="4"/>
        <v>0</v>
      </c>
      <c r="R11" s="11">
        <f t="shared" si="4"/>
        <v>5</v>
      </c>
      <c r="S11" s="11">
        <f t="shared" si="4"/>
        <v>2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4"/>
      <c r="P12" s="2"/>
      <c r="Q12" s="2"/>
      <c r="R12" s="2"/>
      <c r="S12" s="2"/>
    </row>
    <row r="13">
      <c r="A13" s="15" t="s">
        <v>21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16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  <c r="K14" s="4" t="s">
        <v>11</v>
      </c>
      <c r="L14" s="4" t="s">
        <v>12</v>
      </c>
      <c r="M14" s="4" t="s">
        <v>13</v>
      </c>
      <c r="N14" s="4" t="s">
        <v>14</v>
      </c>
      <c r="O14" s="4" t="s">
        <v>15</v>
      </c>
      <c r="P14" s="4" t="s">
        <v>16</v>
      </c>
      <c r="Q14" s="4" t="s">
        <v>17</v>
      </c>
      <c r="R14" s="4" t="s">
        <v>18</v>
      </c>
      <c r="S14" s="4" t="s">
        <v>19</v>
      </c>
    </row>
    <row r="15">
      <c r="A15" s="5">
        <v>2.0</v>
      </c>
      <c r="B15" s="6">
        <v>1.0</v>
      </c>
      <c r="C15" s="7">
        <v>1.0</v>
      </c>
      <c r="D15" s="7">
        <v>6.0</v>
      </c>
      <c r="E15" s="8">
        <f t="shared" ref="E15:E17" si="5">C15/D15</f>
        <v>0.1666666667</v>
      </c>
      <c r="F15" s="7">
        <v>0.0</v>
      </c>
      <c r="G15" s="7">
        <v>4.0</v>
      </c>
      <c r="H15" s="9">
        <v>0.0</v>
      </c>
      <c r="I15" s="7">
        <v>0.0</v>
      </c>
      <c r="J15" s="7">
        <v>0.0</v>
      </c>
      <c r="K15" s="9">
        <v>0.0</v>
      </c>
      <c r="L15" s="7">
        <v>0.0</v>
      </c>
      <c r="M15" s="7">
        <v>1.0</v>
      </c>
      <c r="N15" s="10">
        <f t="shared" ref="N15:N17" si="6">sum(L15+M15)</f>
        <v>1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</row>
    <row r="16">
      <c r="A16" s="5">
        <v>5.0</v>
      </c>
      <c r="B16" s="6">
        <v>3.0</v>
      </c>
      <c r="C16" s="7">
        <v>3.0</v>
      </c>
      <c r="D16" s="7">
        <v>10.0</v>
      </c>
      <c r="E16" s="8">
        <f t="shared" si="5"/>
        <v>0.3</v>
      </c>
      <c r="F16" s="7">
        <v>0.0</v>
      </c>
      <c r="G16" s="7">
        <v>0.0</v>
      </c>
      <c r="H16" s="9">
        <v>0.0</v>
      </c>
      <c r="I16" s="7">
        <v>0.0</v>
      </c>
      <c r="J16" s="7">
        <v>0.0</v>
      </c>
      <c r="K16" s="9">
        <v>0.0</v>
      </c>
      <c r="L16" s="7">
        <v>3.0</v>
      </c>
      <c r="M16" s="7">
        <v>0.0</v>
      </c>
      <c r="N16" s="10">
        <f t="shared" si="6"/>
        <v>3</v>
      </c>
      <c r="O16" s="7">
        <v>1.0</v>
      </c>
      <c r="P16" s="7">
        <v>0.0</v>
      </c>
      <c r="Q16" s="7">
        <v>0.0</v>
      </c>
      <c r="R16" s="7">
        <v>1.0</v>
      </c>
      <c r="S16" s="7">
        <v>2.0</v>
      </c>
    </row>
    <row r="17">
      <c r="A17" s="5">
        <v>4.0</v>
      </c>
      <c r="B17" s="6">
        <v>1.0</v>
      </c>
      <c r="C17" s="7">
        <v>1.0</v>
      </c>
      <c r="D17" s="7">
        <v>4.0</v>
      </c>
      <c r="E17" s="8">
        <f t="shared" si="5"/>
        <v>0.25</v>
      </c>
      <c r="F17" s="7">
        <v>0.0</v>
      </c>
      <c r="G17" s="7">
        <v>2.0</v>
      </c>
      <c r="H17" s="9">
        <v>0.0</v>
      </c>
      <c r="I17" s="7">
        <v>0.0</v>
      </c>
      <c r="J17" s="7">
        <v>0.0</v>
      </c>
      <c r="K17" s="9">
        <v>0.0</v>
      </c>
      <c r="L17" s="7">
        <v>2.0</v>
      </c>
      <c r="M17" s="7">
        <v>1.0</v>
      </c>
      <c r="N17" s="10">
        <f t="shared" si="6"/>
        <v>3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</row>
    <row r="18">
      <c r="A18" s="6" t="s">
        <v>20</v>
      </c>
      <c r="B18" s="11">
        <f t="shared" ref="B18:D18" si="7">SUM(B14:B17)</f>
        <v>5</v>
      </c>
      <c r="C18" s="11">
        <f t="shared" si="7"/>
        <v>5</v>
      </c>
      <c r="D18" s="11">
        <f t="shared" si="7"/>
        <v>20</v>
      </c>
      <c r="E18" s="12">
        <f>AVERAGE(E14:E17)</f>
        <v>0.2388888889</v>
      </c>
      <c r="F18" s="26">
        <v>0.0</v>
      </c>
      <c r="G18" s="26">
        <v>0.0</v>
      </c>
      <c r="H18" s="12">
        <f>AVERAGE(H14:H17)</f>
        <v>0</v>
      </c>
      <c r="I18" s="26">
        <v>0.0</v>
      </c>
      <c r="J18" s="26">
        <v>0.0</v>
      </c>
      <c r="K18" s="12">
        <f>AVERAGE(K14:K17)</f>
        <v>0</v>
      </c>
      <c r="L18" s="11">
        <f t="shared" ref="L18:S18" si="8">SUM(L14:L17)</f>
        <v>5</v>
      </c>
      <c r="M18" s="11">
        <f t="shared" si="8"/>
        <v>2</v>
      </c>
      <c r="N18" s="11">
        <f t="shared" si="8"/>
        <v>7</v>
      </c>
      <c r="O18" s="11">
        <f t="shared" si="8"/>
        <v>1</v>
      </c>
      <c r="P18" s="11">
        <f t="shared" si="8"/>
        <v>0</v>
      </c>
      <c r="Q18" s="11">
        <f t="shared" si="8"/>
        <v>0</v>
      </c>
      <c r="R18" s="11">
        <f t="shared" si="8"/>
        <v>1</v>
      </c>
      <c r="S18" s="11">
        <f t="shared" si="8"/>
        <v>2</v>
      </c>
    </row>
    <row r="20">
      <c r="U20" s="17" t="s">
        <v>22</v>
      </c>
      <c r="V20" s="18" t="s">
        <v>28</v>
      </c>
    </row>
    <row r="21">
      <c r="U21" s="17" t="s">
        <v>23</v>
      </c>
      <c r="V21" s="18" t="s">
        <v>21</v>
      </c>
    </row>
    <row r="22">
      <c r="U22" s="17" t="s">
        <v>24</v>
      </c>
      <c r="V22" s="18" t="s">
        <v>43</v>
      </c>
    </row>
  </sheetData>
  <drawing r:id="rId1"/>
</worksheet>
</file>